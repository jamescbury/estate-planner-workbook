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jamescbury/Documents/Canterbury Files/Canterbury Files/15 Canterbury Estate/"/>
    </mc:Choice>
  </mc:AlternateContent>
  <xr:revisionPtr revIDLastSave="0" documentId="13_ncr:1_{B0585B96-7A43-F049-9C2C-6BD2D06CF7BC}" xr6:coauthVersionLast="47" xr6:coauthVersionMax="47" xr10:uidLastSave="{00000000-0000-0000-0000-000000000000}"/>
  <bookViews>
    <workbookView xWindow="200" yWindow="680" windowWidth="24220" windowHeight="16640" xr2:uid="{B779302A-6E39-2A45-9CB9-A7E07FA072B6}"/>
  </bookViews>
  <sheets>
    <sheet name="Overview" sheetId="10" r:id="rId1"/>
    <sheet name="Assets" sheetId="1" r:id="rId2"/>
    <sheet name="Liabilities" sheetId="2" r:id="rId3"/>
    <sheet name="Income" sheetId="3" r:id="rId4"/>
    <sheet name="Expenses" sheetId="5" r:id="rId5"/>
    <sheet name="HelperText" sheetId="9" r:id="rId6"/>
    <sheet name="InputHelper" sheetId="11" r:id="rId7"/>
    <sheet name="~CatList_tmp" sheetId="12" state="hidden" r:id="rId8"/>
  </sheets>
  <definedNames>
    <definedName name="Expense_Amount">Expenses!$G$5:$G$181</definedName>
    <definedName name="Expense_Frequency">Expenses!$H$5:'Expenses'!$H$181</definedName>
    <definedName name="frequency">HelperText!$F$3:$F$9</definedName>
    <definedName name="payment_types">HelperText!$F$13:$F$18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10" l="1" a="1"/>
  <c r="E21" i="10" s="1"/>
  <c r="D21" i="10" s="1"/>
  <c r="J2" i="3"/>
  <c r="E20" i="10" s="1"/>
  <c r="I2" i="3"/>
  <c r="D20" i="10" s="1"/>
  <c r="E14" i="10"/>
  <c r="I2" i="1"/>
  <c r="D15" i="10"/>
  <c r="D14" i="10"/>
  <c r="L2" i="2"/>
  <c r="E15" i="10" s="1"/>
  <c r="D22" i="10" l="1"/>
  <c r="E22" i="10"/>
  <c r="E1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<sst xmlns="http://schemas.openxmlformats.org/spreadsheetml/2006/main" count="1178" uniqueCount="345">
  <si>
    <t>Assets</t>
  </si>
  <si>
    <t>Company</t>
  </si>
  <si>
    <t>Account</t>
  </si>
  <si>
    <t>Beneficiary</t>
  </si>
  <si>
    <t>Face Value</t>
  </si>
  <si>
    <t>Life Insurance</t>
  </si>
  <si>
    <t>Annuities</t>
  </si>
  <si>
    <t>Value</t>
  </si>
  <si>
    <t>Address</t>
  </si>
  <si>
    <t>Mortgage Balance</t>
  </si>
  <si>
    <t>Business</t>
  </si>
  <si>
    <t>% owned</t>
  </si>
  <si>
    <t>Make/Model</t>
  </si>
  <si>
    <t>Year</t>
  </si>
  <si>
    <t>Debtor</t>
  </si>
  <si>
    <t>Due Date</t>
  </si>
  <si>
    <t>Outstanding Balance</t>
  </si>
  <si>
    <t>Item</t>
  </si>
  <si>
    <t>Liabilities</t>
  </si>
  <si>
    <t>Mortgage</t>
  </si>
  <si>
    <t>Balance</t>
  </si>
  <si>
    <t>Home Equity Line of Credit</t>
  </si>
  <si>
    <t>Credit Cards</t>
  </si>
  <si>
    <t>Other Debt</t>
  </si>
  <si>
    <t>Income</t>
  </si>
  <si>
    <t>Pension</t>
  </si>
  <si>
    <t>Social Security</t>
  </si>
  <si>
    <t>Other Income</t>
  </si>
  <si>
    <t>Monthly Amount</t>
  </si>
  <si>
    <t>Yearly Amount</t>
  </si>
  <si>
    <t>Expenses</t>
  </si>
  <si>
    <t>Utilities</t>
  </si>
  <si>
    <t>Food</t>
  </si>
  <si>
    <t>Medical</t>
  </si>
  <si>
    <t>Misc</t>
  </si>
  <si>
    <t>Net Worth</t>
  </si>
  <si>
    <t>Cash Flow</t>
  </si>
  <si>
    <t>Monthly</t>
  </si>
  <si>
    <t>Annually</t>
  </si>
  <si>
    <t>Type</t>
  </si>
  <si>
    <t>As-of Date</t>
  </si>
  <si>
    <t>Company (creditor)</t>
  </si>
  <si>
    <t>Company/Institution</t>
  </si>
  <si>
    <t>Payment Amount</t>
  </si>
  <si>
    <t>Statement Due Date</t>
  </si>
  <si>
    <t>Maturity Date</t>
  </si>
  <si>
    <t>Taxable?</t>
  </si>
  <si>
    <t>Company/Vendor</t>
  </si>
  <si>
    <t>Amount</t>
  </si>
  <si>
    <t>Frequency</t>
  </si>
  <si>
    <t>Irregular/annual Expenses</t>
  </si>
  <si>
    <t>Regular/Monthly Expenses</t>
  </si>
  <si>
    <t>Medical (out of pocket)</t>
  </si>
  <si>
    <t>Insurance Premiums</t>
  </si>
  <si>
    <t>Carrier</t>
  </si>
  <si>
    <t>electric</t>
  </si>
  <si>
    <t>trash / recycling</t>
  </si>
  <si>
    <t>natural gas</t>
  </si>
  <si>
    <t>water / sewer</t>
  </si>
  <si>
    <t>core home utilities</t>
  </si>
  <si>
    <t>communications &amp; connectivity</t>
  </si>
  <si>
    <t>cable</t>
  </si>
  <si>
    <t>mobile phone</t>
  </si>
  <si>
    <t>home security / alarm</t>
  </si>
  <si>
    <t>HOA</t>
  </si>
  <si>
    <t>pest control</t>
  </si>
  <si>
    <t>Category</t>
  </si>
  <si>
    <t>Dr. Co-Pays</t>
  </si>
  <si>
    <t>prescriptions</t>
  </si>
  <si>
    <t>software subscriptions</t>
  </si>
  <si>
    <t>VALUE</t>
  </si>
  <si>
    <t>total asset value:</t>
  </si>
  <si>
    <t>ACCESS</t>
  </si>
  <si>
    <t>Website Address</t>
  </si>
  <si>
    <t>Username</t>
  </si>
  <si>
    <t>Agent Contact</t>
  </si>
  <si>
    <t>NOTES</t>
  </si>
  <si>
    <t>notes</t>
  </si>
  <si>
    <t>Notes</t>
  </si>
  <si>
    <t>Monthly Average Payment</t>
  </si>
  <si>
    <t>Autopay?</t>
  </si>
  <si>
    <t>When Paid</t>
  </si>
  <si>
    <t>How Paid</t>
  </si>
  <si>
    <t>Where Deposited</t>
  </si>
  <si>
    <t>Pay From Account</t>
  </si>
  <si>
    <t>Average Amount</t>
  </si>
  <si>
    <t>PAYMENT</t>
  </si>
  <si>
    <t>Net Cash</t>
  </si>
  <si>
    <t>Sheet</t>
  </si>
  <si>
    <t>Field Name</t>
  </si>
  <si>
    <t>Helper Text</t>
  </si>
  <si>
    <t>All</t>
  </si>
  <si>
    <t>Use 'All' in Sheet or Category for universal helper text. More specific entries override general ones.</t>
  </si>
  <si>
    <t xml:space="preserve">Personal Property </t>
  </si>
  <si>
    <t>Total value of all the contents in &amp; around your home. (e.g., furniture, jewelry, household items, collectibles, etc.)</t>
  </si>
  <si>
    <t>Navigation</t>
  </si>
  <si>
    <t>what you have</t>
  </si>
  <si>
    <t>what you owe</t>
  </si>
  <si>
    <t>what you earn</t>
  </si>
  <si>
    <t>what you spend</t>
  </si>
  <si>
    <t>This is a debt payable to you</t>
  </si>
  <si>
    <t>Dashboard</t>
  </si>
  <si>
    <t>Count</t>
  </si>
  <si>
    <t>monthly</t>
  </si>
  <si>
    <t>Cash Value</t>
  </si>
  <si>
    <t>Owner / Titling</t>
  </si>
  <si>
    <t>Documentation Location</t>
  </si>
  <si>
    <t>County</t>
  </si>
  <si>
    <t>Lists</t>
  </si>
  <si>
    <t>weekly</t>
  </si>
  <si>
    <t>biweekly</t>
  </si>
  <si>
    <t>quarterly</t>
  </si>
  <si>
    <t>annually</t>
  </si>
  <si>
    <t>Payment Types</t>
  </si>
  <si>
    <t>bill pay</t>
  </si>
  <si>
    <t>check</t>
  </si>
  <si>
    <t>card</t>
  </si>
  <si>
    <t>cash</t>
  </si>
  <si>
    <t>other</t>
  </si>
  <si>
    <t>Bank Accounts</t>
  </si>
  <si>
    <t>Cash, CD's, Savings, Checking</t>
  </si>
  <si>
    <t>Digital Assets</t>
  </si>
  <si>
    <t>Cryptocurrencies (custodial accounts, self custody wallets)</t>
  </si>
  <si>
    <t>VIN</t>
  </si>
  <si>
    <t>Collectables/Precious Metals</t>
  </si>
  <si>
    <t>Location</t>
  </si>
  <si>
    <t>Last Appraised</t>
  </si>
  <si>
    <t>Stocks, Bonds, Mutual Funds</t>
  </si>
  <si>
    <t>Deed Reference</t>
  </si>
  <si>
    <t>Auto Loan/Lease</t>
  </si>
  <si>
    <t>medical debt, student loans, personal loans, taxes owed</t>
  </si>
  <si>
    <t>Wages/Salary</t>
  </si>
  <si>
    <t>Annuity Income</t>
  </si>
  <si>
    <t>Rental Income</t>
  </si>
  <si>
    <t>Housing</t>
  </si>
  <si>
    <t>mortgage / rent</t>
  </si>
  <si>
    <t>property tax</t>
  </si>
  <si>
    <t>Payee</t>
  </si>
  <si>
    <t>life insurance</t>
  </si>
  <si>
    <t>umbrella insurance</t>
  </si>
  <si>
    <t>auto insurance</t>
  </si>
  <si>
    <t>homeowners insurance</t>
  </si>
  <si>
    <t>**DO NOT INCLUDE PASSWORDS HERE**</t>
  </si>
  <si>
    <t>IRAs, 401(k)s, Profit Sharing, etc.</t>
  </si>
  <si>
    <t>septic maintenance</t>
  </si>
  <si>
    <t>Enter the account number or a masked version (e.g., last 4 digits). Avoid full numbers in shared versions.</t>
  </si>
  <si>
    <t>Access</t>
  </si>
  <si>
    <t>Immediate, Deferred, Fixed, Indexed, Variable.</t>
  </si>
  <si>
    <t>Brokerage/Taxable</t>
  </si>
  <si>
    <t>Real Property</t>
  </si>
  <si>
    <t>Vehicles</t>
  </si>
  <si>
    <t>Business Interests</t>
  </si>
  <si>
    <t>Loans Receivable</t>
  </si>
  <si>
    <t>Safe Deposit Box</t>
  </si>
  <si>
    <t>Digital Assets (Crypto/Wallets)</t>
  </si>
  <si>
    <t>529/UTMA/ESA</t>
  </si>
  <si>
    <t>Loan/account number (mask if needed).</t>
  </si>
  <si>
    <t>Interest Rate</t>
  </si>
  <si>
    <t>Online portal to manage or pay.</t>
  </si>
  <si>
    <t>Login ID used.</t>
  </si>
  <si>
    <t>Credit Card</t>
  </si>
  <si>
    <t>Student Loan</t>
  </si>
  <si>
    <t>Medical Debt</t>
  </si>
  <si>
    <t>Personal Loan</t>
  </si>
  <si>
    <t>Tax Owed (IRS/State/Local)</t>
  </si>
  <si>
    <t>Source</t>
  </si>
  <si>
    <t>Gross Amount</t>
  </si>
  <si>
    <t>Net Amount</t>
  </si>
  <si>
    <t>Deposit Account</t>
  </si>
  <si>
    <t>Start Date</t>
  </si>
  <si>
    <t>End Date</t>
  </si>
  <si>
    <t>Payroll or benefits contact.</t>
  </si>
  <si>
    <t>Rental</t>
  </si>
  <si>
    <t>Business/Consulting</t>
  </si>
  <si>
    <t>Alimony/Support</t>
  </si>
  <si>
    <t>Expense subtype (e.g., Electric, Internet, HOA, Medicare Part B).</t>
  </si>
  <si>
    <t>Who is paid (utility, insurer, landlord, caregiver, subscription).</t>
  </si>
  <si>
    <t>Account number or customer ID (mask if needed).</t>
  </si>
  <si>
    <t>Typical amount for the chosen frequency. Use a 3‑month average for variable bills.</t>
  </si>
  <si>
    <t>Due date/frequency (e.g., 15th monthly; quarterly in Jan/Apr/Jul/Oct).</t>
  </si>
  <si>
    <t>Payment method (auto‑draft, bill pay, check, card).</t>
  </si>
  <si>
    <t>Funding account used for auto‑pay (bank + last 4).</t>
  </si>
  <si>
    <t>Online portal to view/pay bills.</t>
  </si>
  <si>
    <t>Support or account manager contact info.</t>
  </si>
  <si>
    <t>Contract terms, renewal dates, service address, plan tier, meter numbers, or special instructions.</t>
  </si>
  <si>
    <t>Examples under Utilities.</t>
  </si>
  <si>
    <t>Communications &amp; Connectivity</t>
  </si>
  <si>
    <t>Examples under Communications &amp; Connectivity.</t>
  </si>
  <si>
    <t>Housing (Rent/HOA/Property Tax)</t>
  </si>
  <si>
    <t>Examples under Housing (Rent/HOA/Property Tax).</t>
  </si>
  <si>
    <t>Examples under Insurance Premiums.</t>
  </si>
  <si>
    <t>Healthcare &amp; Caregiving</t>
  </si>
  <si>
    <t>Examples under Healthcare &amp; Caregiving.</t>
  </si>
  <si>
    <t>Transportation</t>
  </si>
  <si>
    <t>Examples under Transportation.</t>
  </si>
  <si>
    <t>Food &amp; Household</t>
  </si>
  <si>
    <t>Examples under Food &amp; Household.</t>
  </si>
  <si>
    <t>Debt Service</t>
  </si>
  <si>
    <t>Examples under Debt Service.</t>
  </si>
  <si>
    <t>Subscriptions &amp; Digital</t>
  </si>
  <si>
    <t>Examples under Subscriptions &amp; Digital.</t>
  </si>
  <si>
    <t>Professional Services</t>
  </si>
  <si>
    <t>Examples under Professional Services.</t>
  </si>
  <si>
    <t>Charitable/Religious</t>
  </si>
  <si>
    <t>Examples under Charitable/Religious.</t>
  </si>
  <si>
    <t>Pets</t>
  </si>
  <si>
    <t>Examples under Pets.</t>
  </si>
  <si>
    <t>Education</t>
  </si>
  <si>
    <t>Examples under Education.</t>
  </si>
  <si>
    <t>Travel &amp; Leisure</t>
  </si>
  <si>
    <t>Examples under Travel &amp; Leisure.</t>
  </si>
  <si>
    <t>Other Annual/Irregular</t>
  </si>
  <si>
    <t>Examples under Other Annual/Irregular.</t>
  </si>
  <si>
    <t xml:space="preserve">Loans Receivable </t>
  </si>
  <si>
    <t>Document Location</t>
  </si>
  <si>
    <t>Safety Deposit Box</t>
  </si>
  <si>
    <t>Institution</t>
  </si>
  <si>
    <t>Key Custody</t>
  </si>
  <si>
    <t>Choose the subtype that best describes the entry. If not listed, choose 'Other' and clarify in Notes.</t>
  </si>
  <si>
    <t>Date the balance or value was last confirmed (e.g., statement date).</t>
  </si>
  <si>
    <t>URL used to access the account online (ideally the login page).</t>
  </si>
  <si>
    <t>Login ID or email used for access. Do NOT store passwords here.</t>
  </si>
  <si>
    <t>Primary human contact (advisor, agent, support). Include name, role, phone, and email.</t>
  </si>
  <si>
    <t>Where additional information is stored (file, safe, drawer).</t>
  </si>
  <si>
    <t>Any special instructions, exceptions, or unusual details (e.g., liens, pending transfers, restrictions).</t>
  </si>
  <si>
    <t>Who owns this item and how it is titled (individual, joint, trust). Include beneficiaries if relevant.</t>
  </si>
  <si>
    <t>Where and how to access (online portal, phone IVR, branch). Two-factor details in Notes only.</t>
  </si>
  <si>
    <t>Payment frequency or specific due date (e.g., 15th monthly).</t>
  </si>
  <si>
    <t>Method used (ACH, auto-draft, bill pay, check, card).</t>
  </si>
  <si>
    <t>The account funding payments (bank + last 4).</t>
  </si>
  <si>
    <t>Name of financial institution, custodian, or issuer.</t>
  </si>
  <si>
    <t>List primary and contingent beneficiaries as recorded.</t>
  </si>
  <si>
    <t>Current balance or market value (use statement or appraisal).</t>
  </si>
  <si>
    <t>For insurance/annuities: the stated face amount. Leave blank if not applicable.</t>
  </si>
  <si>
    <t>Term, Whole, Universal, Variable, Group.</t>
  </si>
  <si>
    <t>Policy death benefit. Note cash value separately in Notes.</t>
  </si>
  <si>
    <t>Verify primary and contingent; note trusts with exact names.</t>
  </si>
  <si>
    <t>Current contract value. Add surrender value/period in Notes.</t>
  </si>
  <si>
    <t>Traditional, Roth, SEP, SIMPLE, 401(k), 403(b), 457(b), Profit Sharing.</t>
  </si>
  <si>
    <t>List primary and contingent. Confirm per stirpes if relevant.</t>
  </si>
  <si>
    <t>Checking, Savings, Money Market, CD.</t>
  </si>
  <si>
    <t>Current account balance.</t>
  </si>
  <si>
    <t>Joint owners, overdraft links, special features.</t>
  </si>
  <si>
    <t>Current market value from statement.</t>
  </si>
  <si>
    <t>Primary Residence, Rental, Vacation, Land.</t>
  </si>
  <si>
    <t>Market value or most recent appraisal.</t>
  </si>
  <si>
    <t>Car, Truck, Motorcycle, Boat, RV.</t>
  </si>
  <si>
    <t>Estimated resale (Kelley Blue Book, appraisal, or insurance).</t>
  </si>
  <si>
    <t>Title location, lienholder, insurance carrier.</t>
  </si>
  <si>
    <t>LLC, Partnership, Sole Proprietorship, S-Corp, C-Corp.</t>
  </si>
  <si>
    <t>Ownership share value (tax return, appraisal, or partner statement).</t>
  </si>
  <si>
    <t>Buy/sell agreements, operating agreement location, co-owners.</t>
  </si>
  <si>
    <t>Personal loan, Promissory Note, Mortgage held.</t>
  </si>
  <si>
    <t>Outstanding principal owed to you.</t>
  </si>
  <si>
    <t>Borrower name, repayment terms, document storage location.</t>
  </si>
  <si>
    <t>Jewelry, Coins, Bullion, Artwork, Antiques.</t>
  </si>
  <si>
    <t>Appraised or insured value.</t>
  </si>
  <si>
    <t>Bank-issued box, Home safe, Off-site vault.</t>
  </si>
  <si>
    <t>Location, who has a key, what is stored.</t>
  </si>
  <si>
    <t>Exchange account, Hardware wallet, Custodial wallet.</t>
  </si>
  <si>
    <t>Balance in USD as of most recent statement.</t>
  </si>
  <si>
    <t>Custody arrangements. DO NOT record private keys.</t>
  </si>
  <si>
    <t>529 Plan, UTMA, ESA.</t>
  </si>
  <si>
    <t>Current account value.</t>
  </si>
  <si>
    <t>Beneficiary, custodian, document location.</t>
  </si>
  <si>
    <t>Lender or payee name.</t>
  </si>
  <si>
    <t>Outstanding principal as of As-of Date.</t>
  </si>
  <si>
    <t>Current rate and type (fixed/variable). Include reset info in Notes.</t>
  </si>
  <si>
    <t>Date balance was last confirmed.</t>
  </si>
  <si>
    <t>Servicer contact or loan officer.</t>
  </si>
  <si>
    <t>Escrow info, prepayment penalties, payoff instructions.</t>
  </si>
  <si>
    <t>Subtype (e.g., Fixed vs ARM; Revolving vs Installment; Federal vs Private).</t>
  </si>
  <si>
    <t>Outstanding balance or payoff amount.</t>
  </si>
  <si>
    <t>Employer, SSA, pension fund, tenant, business, or payer.</t>
  </si>
  <si>
    <t>Wages/Salary, Pension, Social Security, Annuity, Rental, Interest, Dividends, Business, Alimony/Support, Other.</t>
  </si>
  <si>
    <t>Amount before deductions/taxes per pay period.</t>
  </si>
  <si>
    <t>Amount received after deductions.</t>
  </si>
  <si>
    <t>How often received (weekly, biweekly, monthly, quarterly, annually).</t>
  </si>
  <si>
    <t>Destination account (bank + last 4).</t>
  </si>
  <si>
    <t>When payments began.</t>
  </si>
  <si>
    <t>Leave blank if ongoing; otherwise planned end.</t>
  </si>
  <si>
    <t>Online portal (payroll, SSA, pension).</t>
  </si>
  <si>
    <t>Login ID for the portal.</t>
  </si>
  <si>
    <t>Include COLA rules, survivor benefits, recertification cadence, or renewal info.</t>
  </si>
  <si>
    <t>Include COLA adjustments, survivor benefit details, plan administrator contact.</t>
  </si>
  <si>
    <t>Note whether retirement, disability, or survivor benefit; include Medicare deduction info.</t>
  </si>
  <si>
    <t>Lease renewal dates, tenant name, deposit account.</t>
  </si>
  <si>
    <t>Include business entity type, invoicing system, major clients.</t>
  </si>
  <si>
    <t>Subtype of expense (e.g., Electric, Internet, HOA, Medicare Part B).</t>
  </si>
  <si>
    <t>Account or customer ID (mask if needed).</t>
  </si>
  <si>
    <t>Typical amount. For variable, use 3-month average.</t>
  </si>
  <si>
    <t>Due date/frequency (e.g., 15th monthly, quarterly).</t>
  </si>
  <si>
    <t>Payment method (auto-draft, bill pay, card, check).</t>
  </si>
  <si>
    <t>Funding account (bank + last 4).</t>
  </si>
  <si>
    <t>Online portal for payments.</t>
  </si>
  <si>
    <t>Login ID.</t>
  </si>
  <si>
    <t>Support or account manager.</t>
  </si>
  <si>
    <t>Contract terms, renewal dates, service address, or plan tier.</t>
  </si>
  <si>
    <t>Electric, Water/Sewer, Gas, Trash, Recycling.</t>
  </si>
  <si>
    <t>Mobile phone, Internet, Cable, Streaming.</t>
  </si>
  <si>
    <t>Rent, Mortgage escrowed taxes/insurance, HOA dues.</t>
  </si>
  <si>
    <t>Health, Dental, Vision, Auto, Homeowners, Umbrella, Life, LTC.</t>
  </si>
  <si>
    <t>Medical co-pays, Prescriptions, In-home care, Assisted living.</t>
  </si>
  <si>
    <t>Fuel, Maintenance, Tolls, Parking, Public transit.</t>
  </si>
  <si>
    <t>Groceries, Dining out, Cleaning supplies.</t>
  </si>
  <si>
    <t>Loan payments not in Liabilities (store cards, installment plans).</t>
  </si>
  <si>
    <t>Cloud storage, Software, Streaming, News.</t>
  </si>
  <si>
    <t>Accounting, Legal, Financial Planning.</t>
  </si>
  <si>
    <t>Church tithes, Regular donations.</t>
  </si>
  <si>
    <t>Food, Vet care, Insurance, Boarding.</t>
  </si>
  <si>
    <t>Tuition, School supplies, Student fees.</t>
  </si>
  <si>
    <t>Vacations, Hobbies, Entertainment, Gym memberships.</t>
  </si>
  <si>
    <t>Gifts, Membership dues, Taxes, One-time costs.</t>
  </si>
  <si>
    <t>Outstanding Loan</t>
  </si>
  <si>
    <t>How much do you owe on this vehicle?  What is the payoff amount</t>
  </si>
  <si>
    <t>Brokerage, Money Market, etc</t>
  </si>
  <si>
    <t>Who owns this item and how it is titled (individual, joint, trust).  Include owners if relevant.</t>
  </si>
  <si>
    <t>If used for value estimate</t>
  </si>
  <si>
    <t>Deed location</t>
  </si>
  <si>
    <t>Co-owners, liens, or easements.</t>
  </si>
  <si>
    <t>Personal Property</t>
  </si>
  <si>
    <t>Tax-Advantaged Savings</t>
  </si>
  <si>
    <t>Real Estate Property</t>
  </si>
  <si>
    <t>vehicle identification number</t>
  </si>
  <si>
    <t>Investments</t>
  </si>
  <si>
    <t>interest, dividends, etc</t>
  </si>
  <si>
    <t>Owned, financed, leased</t>
  </si>
  <si>
    <t>Deed reference or mortgage #</t>
  </si>
  <si>
    <t>semiannual</t>
  </si>
  <si>
    <t>AT&amp;T Data (Rivian)</t>
  </si>
  <si>
    <t>ACH (auto pay)</t>
  </si>
  <si>
    <t>Dental</t>
  </si>
  <si>
    <t>Eye</t>
  </si>
  <si>
    <t>Automobile</t>
  </si>
  <si>
    <t>internet (home)</t>
  </si>
  <si>
    <t>internet (hotspots)</t>
  </si>
  <si>
    <t>streaming video services</t>
  </si>
  <si>
    <t>streaming audio services</t>
  </si>
  <si>
    <t>maintenance &amp; safety</t>
  </si>
  <si>
    <t>Car 1</t>
  </si>
  <si>
    <t>Car 2</t>
  </si>
  <si>
    <t>gym</t>
  </si>
  <si>
    <t>home services (repairs / maintenance plans)</t>
  </si>
  <si>
    <t>restaurants</t>
  </si>
  <si>
    <t>groceries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</si>
</sst>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quot;$&quot;* #,##0_);_(&quot;$&quot;* \(#,##0\);_(&quot;$&quot;* &quot;-&quot;??_);_(@_)"/>
    <numFmt numFmtId="165" formatCode="&quot;$&quot;#,##0.00"/>
    <numFmt numFmtId="166" formatCode="&quot;$&quot;#,##0"/>
    <numFmt numFmtId="167" formatCode="mm/dd/yyyy"/>
  </numFmts>
  <fonts count="17">
    <font>
      <sz val="12"/>
      <color theme="1"/>
      <name val="Aptos Narrow"/>
      <family val="2"/>
      <scheme val="minor"/>
    </font>
    <font>
      <sz val="12"/>
      <color theme="1"/>
      <name val="Aptos Narrow"/>
      <family val="2"/>
      <scheme val="minor"/>
    </font>
    <font>
      <sz val="12"/>
      <color theme="1"/>
      <name val="Menlo Regular"/>
    </font>
    <font>
      <b/>
      <sz val="18"/>
      <color theme="1"/>
      <name val="Menlo Regular"/>
    </font>
    <font>
      <b/>
      <sz val="12"/>
      <color theme="1"/>
      <name val="Menlo Regular"/>
    </font>
    <font>
      <i/>
      <sz val="12"/>
      <color theme="1"/>
      <name val="Menlo Regular"/>
    </font>
    <font>
      <b/>
      <i/>
      <sz val="12"/>
      <color theme="1"/>
      <name val="Menlo Regular"/>
    </font>
    <font>
      <b/>
      <sz val="12"/>
      <color theme="1"/>
      <name val="Aptos Narrow"/>
      <scheme val="minor"/>
    </font>
    <font>
      <i/>
      <sz val="12"/>
      <color theme="1"/>
      <name val="Aptos Narrow"/>
      <scheme val="minor"/>
    </font>
    <font>
      <i/>
      <sz val="16"/>
      <color theme="1"/>
      <name val="Aptos Narrow"/>
      <scheme val="minor"/>
    </font>
    <font>
      <u/>
      <sz val="12"/>
      <color theme="10"/>
      <name val="Aptos Narrow"/>
      <family val="2"/>
      <scheme val="minor"/>
    </font>
    <font>
      <sz val="16"/>
      <color theme="1"/>
      <name val="Aptos Narrow"/>
      <family val="2"/>
      <scheme val="minor"/>
    </font>
    <font>
      <u/>
      <sz val="16"/>
      <color theme="10"/>
      <name val="Aptos Narrow"/>
      <family val="2"/>
      <scheme val="minor"/>
    </font>
    <font>
      <sz val="12"/>
      <color rgb="FF000000"/>
      <name val="Aptos Narrow"/>
    </font>
    <font>
      <i/>
      <sz val="10"/>
      <color theme="1"/>
      <name val="Menlo Regular"/>
    </font>
    <font>
      <sz val="11"/>
      <color theme="1"/>
      <name val="Calibri"/>
      <family val="2"/>
    </font>
    <font>
      <b/>
      <sz val="12"/>
      <color rgb="FF000000"/>
      <name val="Aptos Narrow"/>
    </font>
  </fonts>
  <fills count="10">
    <fill>
      <patternFill patternType="none"/>
    </fill>
    <fill>
      <patternFill patternType="gray125"/>
    </fill>
    <fill>
      <patternFill patternType="solid">
        <fgColor theme="9" tint="0.59999389629810485"/>
        <bgColor indexed="64"/>
      </patternFill>
    </fill>
    <fill>
      <patternFill patternType="solid">
        <fgColor theme="3" tint="0.749992370372631"/>
        <bgColor indexed="64"/>
      </patternFill>
    </fill>
    <fill>
      <patternFill patternType="solid">
        <fgColor theme="5" tint="0.39997558519241921"/>
        <bgColor indexed="64"/>
      </patternFill>
    </fill>
    <fill>
      <patternFill patternType="solid">
        <fgColor rgb="FFFFC000"/>
        <bgColor indexed="64"/>
      </patternFill>
    </fill>
    <fill>
      <patternFill patternType="solid">
        <fgColor rgb="FFD9D9D9"/>
        <bgColor indexed="64"/>
      </patternFill>
    </fill>
    <fill>
      <patternFill patternType="solid">
        <fgColor rgb="FFFFFFC8"/>
        <bgColor indexed="64"/>
      </patternFill>
    </fill>
    <fill>
      <patternFill patternType="solid">
        <fgColor theme="3" tint="0.499984740745262"/>
        <bgColor indexed="64"/>
      </patternFill>
    </fill>
    <fill>
      <patternFill patternType="solid">
        <fgColor theme="2" tint="-0.249977111117893"/>
        <bgColor indexed="64"/>
      </patternFill>
    </fill>
  </fills>
  <borders count="3">
    <border>
      <left/>
      <right/>
      <top/>
      <bottom/>
      <diagonal/>
    </border>
    <border>
      <left/>
      <right/>
      <top/>
      <bottom style="thin">
        <color indexed="64"/>
      </bottom>
      <diagonal/>
    </border>
    <border>
      <left/>
      <right/>
      <top/>
      <bottom style="double">
        <color indexed="64"/>
      </bottom>
      <diagonal/>
    </border>
  </borders>
  <cellStyleXfs count="3">
    <xf numFmtId="0" fontId="0" fillId="0" borderId="0"/>
    <xf numFmtId="44" fontId="1" fillId="0" borderId="0" applyFont="0" applyFill="0" applyBorder="0" applyAlignment="0" applyProtection="0"/>
    <xf numFmtId="0" fontId="10" fillId="0" borderId="0" applyNumberFormat="0" applyFill="0" applyBorder="0" applyAlignment="0" applyProtection="0"/>
  </cellStyleXfs>
  <cellXfs count="87">
    <xf numFmtId="0" fontId="0" fillId="0" borderId="0" xfId="0"/>
    <xf numFmtId="0" fontId="2" fillId="0" borderId="0" xfId="0" applyFont="1"/>
    <xf numFmtId="0" fontId="3" fillId="0" borderId="0" xfId="0" applyFont="1"/>
    <xf numFmtId="0" fontId="4" fillId="0" borderId="0" xfId="0" applyFont="1"/>
    <xf numFmtId="0" fontId="2" fillId="2" borderId="0" xfId="0" applyFont="1" applyFill="1"/>
    <xf numFmtId="0" fontId="2" fillId="0" borderId="0" xfId="0" applyFont="1" applyAlignment="1">
      <alignment horizontal="center"/>
    </xf>
    <xf numFmtId="164" fontId="2" fillId="0" borderId="0" xfId="1" applyNumberFormat="1" applyFont="1"/>
    <xf numFmtId="44" fontId="2" fillId="0" borderId="0" xfId="1" applyFont="1" applyAlignment="1">
      <alignment horizontal="left"/>
    </xf>
    <xf numFmtId="44" fontId="2" fillId="2" borderId="0" xfId="1" applyFont="1" applyFill="1" applyAlignment="1">
      <alignment horizontal="left"/>
    </xf>
    <xf numFmtId="14" fontId="2" fillId="0" borderId="0" xfId="1" applyNumberFormat="1" applyFont="1" applyAlignment="1">
      <alignment horizontal="left"/>
    </xf>
    <xf numFmtId="14" fontId="2" fillId="2" borderId="0" xfId="1" applyNumberFormat="1" applyFont="1" applyFill="1" applyAlignment="1">
      <alignment horizontal="left"/>
    </xf>
    <xf numFmtId="0" fontId="3" fillId="0" borderId="0" xfId="0" applyFont="1" applyAlignment="1">
      <alignment horizontal="left"/>
    </xf>
    <xf numFmtId="0" fontId="2" fillId="0" borderId="0" xfId="0" applyFont="1" applyAlignment="1">
      <alignment horizontal="left"/>
    </xf>
    <xf numFmtId="164" fontId="2" fillId="0" borderId="0" xfId="1" applyNumberFormat="1" applyFont="1" applyAlignment="1">
      <alignment horizontal="left"/>
    </xf>
    <xf numFmtId="0" fontId="4" fillId="0" borderId="0" xfId="0" applyFont="1" applyAlignment="1">
      <alignment horizontal="left"/>
    </xf>
    <xf numFmtId="0" fontId="2" fillId="2" borderId="0" xfId="0" applyFont="1" applyFill="1" applyAlignment="1">
      <alignment horizontal="left"/>
    </xf>
    <xf numFmtId="164" fontId="2" fillId="2" borderId="0" xfId="1" applyNumberFormat="1" applyFont="1" applyFill="1" applyAlignment="1">
      <alignment horizontal="left"/>
    </xf>
    <xf numFmtId="0" fontId="2" fillId="0" borderId="0" xfId="0" applyFont="1" applyAlignment="1">
      <alignment horizontal="left" wrapText="1"/>
    </xf>
    <xf numFmtId="0" fontId="2" fillId="0" borderId="0" xfId="0" applyFont="1" applyAlignment="1">
      <alignment horizontal="left" indent="1"/>
    </xf>
    <xf numFmtId="0" fontId="6" fillId="0" borderId="0" xfId="0" applyFont="1" applyAlignment="1">
      <alignment horizontal="left"/>
    </xf>
    <xf numFmtId="14" fontId="2" fillId="0" borderId="0" xfId="0" applyNumberFormat="1" applyFont="1" applyAlignment="1">
      <alignment horizontal="center"/>
    </xf>
    <xf numFmtId="164" fontId="2" fillId="0" borderId="0" xfId="1" applyNumberFormat="1" applyFont="1" applyAlignment="1"/>
    <xf numFmtId="0" fontId="2" fillId="4" borderId="0" xfId="0" applyFont="1" applyFill="1"/>
    <xf numFmtId="0" fontId="2" fillId="5" borderId="0" xfId="0" applyFont="1" applyFill="1" applyAlignment="1">
      <alignment horizontal="center"/>
    </xf>
    <xf numFmtId="14" fontId="5" fillId="3" borderId="0" xfId="0" applyNumberFormat="1" applyFont="1" applyFill="1" applyAlignment="1">
      <alignment horizontal="left"/>
    </xf>
    <xf numFmtId="0" fontId="2" fillId="5" borderId="0" xfId="0" applyFont="1" applyFill="1" applyAlignment="1">
      <alignment horizontal="left"/>
    </xf>
    <xf numFmtId="165" fontId="2" fillId="3" borderId="0" xfId="1" applyNumberFormat="1" applyFont="1" applyFill="1" applyAlignment="1">
      <alignment horizontal="left"/>
    </xf>
    <xf numFmtId="166" fontId="2" fillId="0" borderId="0" xfId="1" applyNumberFormat="1" applyFont="1" applyAlignment="1">
      <alignment horizontal="right"/>
    </xf>
    <xf numFmtId="165" fontId="2" fillId="0" borderId="0" xfId="1" applyNumberFormat="1" applyFont="1" applyAlignment="1">
      <alignment horizontal="right"/>
    </xf>
    <xf numFmtId="166" fontId="2" fillId="0" borderId="0" xfId="1" applyNumberFormat="1" applyFont="1" applyAlignment="1"/>
    <xf numFmtId="165" fontId="2" fillId="0" borderId="0" xfId="1" applyNumberFormat="1" applyFont="1" applyAlignment="1"/>
    <xf numFmtId="14" fontId="5" fillId="3" borderId="0" xfId="0" applyNumberFormat="1" applyFont="1" applyFill="1" applyAlignment="1">
      <alignment horizontal="center"/>
    </xf>
    <xf numFmtId="165" fontId="2" fillId="2" borderId="0" xfId="1" applyNumberFormat="1" applyFont="1" applyFill="1" applyAlignment="1"/>
    <xf numFmtId="164" fontId="2" fillId="2" borderId="0" xfId="1" applyNumberFormat="1" applyFont="1" applyFill="1" applyAlignment="1"/>
    <xf numFmtId="0" fontId="5" fillId="0" borderId="0" xfId="0" applyFont="1" applyAlignment="1">
      <alignment horizontal="left" indent="2"/>
    </xf>
    <xf numFmtId="0" fontId="7" fillId="6" borderId="0" xfId="0" applyFont="1" applyFill="1"/>
    <xf numFmtId="0" fontId="7" fillId="0" borderId="0" xfId="0" applyFont="1"/>
    <xf numFmtId="0" fontId="9" fillId="0" borderId="0" xfId="0" applyFont="1"/>
    <xf numFmtId="0" fontId="11" fillId="0" borderId="0" xfId="0" applyFont="1"/>
    <xf numFmtId="0" fontId="12" fillId="0" borderId="0" xfId="2" applyFont="1"/>
    <xf numFmtId="0" fontId="11" fillId="8" borderId="0" xfId="0" applyFont="1" applyFill="1"/>
    <xf numFmtId="0" fontId="0" fillId="8" borderId="0" xfId="0" applyFill="1"/>
    <xf numFmtId="1" fontId="2" fillId="0" borderId="0" xfId="1" applyNumberFormat="1" applyFont="1" applyAlignment="1">
      <alignment horizontal="center"/>
    </xf>
    <xf numFmtId="0" fontId="2" fillId="0" borderId="1" xfId="0" applyFont="1" applyBorder="1"/>
    <xf numFmtId="1" fontId="2" fillId="0" borderId="1" xfId="1" applyNumberFormat="1" applyFont="1" applyBorder="1" applyAlignment="1">
      <alignment horizontal="center"/>
    </xf>
    <xf numFmtId="164" fontId="2" fillId="0" borderId="2" xfId="1" applyNumberFormat="1" applyFont="1" applyBorder="1"/>
    <xf numFmtId="0" fontId="2" fillId="9" borderId="0" xfId="0" applyFont="1" applyFill="1" applyAlignment="1">
      <alignment horizontal="center"/>
    </xf>
    <xf numFmtId="0" fontId="2" fillId="9" borderId="0" xfId="0" applyFont="1" applyFill="1"/>
    <xf numFmtId="164" fontId="2" fillId="0" borderId="0" xfId="0" applyNumberFormat="1" applyFont="1"/>
    <xf numFmtId="0" fontId="2" fillId="0" borderId="1" xfId="0" applyFont="1" applyBorder="1" applyAlignment="1">
      <alignment horizontal="left" indent="1"/>
    </xf>
    <xf numFmtId="0" fontId="14" fillId="0" borderId="0" xfId="0" applyFont="1"/>
    <xf numFmtId="0" fontId="0" fillId="9" borderId="0" xfId="0" applyFill="1"/>
    <xf numFmtId="166" fontId="2" fillId="3" borderId="0" xfId="1" applyNumberFormat="1" applyFont="1" applyFill="1" applyAlignment="1"/>
    <xf numFmtId="14" fontId="2" fillId="9" borderId="0" xfId="1" applyNumberFormat="1" applyFont="1" applyFill="1" applyAlignment="1">
      <alignment horizontal="left"/>
    </xf>
    <xf numFmtId="0" fontId="2" fillId="9" borderId="0" xfId="0" applyFont="1" applyFill="1" applyAlignment="1">
      <alignment horizontal="left"/>
    </xf>
    <xf numFmtId="0" fontId="5" fillId="0" borderId="0" xfId="0" applyFont="1" applyAlignment="1">
      <alignment horizontal="left"/>
    </xf>
    <xf numFmtId="0" fontId="3" fillId="0" borderId="0" xfId="0" applyFont="1" applyAlignment="1">
      <alignment vertical="top"/>
    </xf>
    <xf numFmtId="0" fontId="2" fillId="0" borderId="0" xfId="0" applyFont="1" applyAlignment="1">
      <alignment vertical="top"/>
    </xf>
    <xf numFmtId="0" fontId="2" fillId="5" borderId="0" xfId="0" applyFont="1" applyFill="1" applyAlignment="1">
      <alignment horizontal="center" vertical="top"/>
    </xf>
    <xf numFmtId="166" fontId="5" fillId="0" borderId="0" xfId="1" applyNumberFormat="1" applyFont="1" applyAlignment="1">
      <alignment horizontal="right" vertical="top"/>
    </xf>
    <xf numFmtId="166" fontId="2" fillId="0" borderId="0" xfId="1" applyNumberFormat="1" applyFont="1" applyAlignment="1">
      <alignment horizontal="right" vertical="top"/>
    </xf>
    <xf numFmtId="14" fontId="2" fillId="0" borderId="0" xfId="0" applyNumberFormat="1" applyFont="1" applyAlignment="1">
      <alignment vertical="top"/>
    </xf>
    <xf numFmtId="0" fontId="4" fillId="0" borderId="0" xfId="0" applyFont="1" applyAlignment="1">
      <alignment vertical="top"/>
    </xf>
    <xf numFmtId="166" fontId="2" fillId="0" borderId="0" xfId="1" applyNumberFormat="1" applyFont="1" applyAlignment="1">
      <alignment vertical="top"/>
    </xf>
    <xf numFmtId="0" fontId="2" fillId="2" borderId="0" xfId="0" applyFont="1" applyFill="1" applyAlignment="1">
      <alignment vertical="top"/>
    </xf>
    <xf numFmtId="166" fontId="2" fillId="3" borderId="0" xfId="1" applyNumberFormat="1" applyFont="1" applyFill="1" applyAlignment="1">
      <alignment horizontal="left" vertical="top"/>
    </xf>
    <xf numFmtId="14" fontId="5" fillId="3" borderId="0" xfId="0" applyNumberFormat="1" applyFont="1" applyFill="1" applyAlignment="1">
      <alignment horizontal="left" vertical="top"/>
    </xf>
    <xf numFmtId="0" fontId="2" fillId="4" borderId="0" xfId="0" applyFont="1" applyFill="1" applyAlignment="1">
      <alignment vertical="top"/>
    </xf>
    <xf numFmtId="0" fontId="2" fillId="5" borderId="0" xfId="0" applyFont="1" applyFill="1" applyAlignment="1">
      <alignment vertical="top"/>
    </xf>
    <xf numFmtId="165" fontId="2" fillId="0" borderId="0" xfId="1" applyNumberFormat="1" applyFont="1" applyAlignment="1">
      <alignment horizontal="right" vertical="top"/>
    </xf>
    <xf numFmtId="167" fontId="2" fillId="0" borderId="0" xfId="0" applyNumberFormat="1" applyFont="1" applyAlignment="1">
      <alignment vertical="top"/>
    </xf>
    <xf numFmtId="0" fontId="2" fillId="0" borderId="0" xfId="0" applyFont="1" applyAlignment="1">
      <alignment vertical="top" wrapText="1"/>
    </xf>
    <xf numFmtId="0" fontId="5" fillId="0" borderId="0" xfId="0" applyFont="1" applyAlignment="1">
      <alignment vertical="top"/>
    </xf>
    <xf numFmtId="0" fontId="15" fillId="0" borderId="0" xfId="0" applyFont="1"/>
    <xf numFmtId="0" fontId="15" fillId="0" borderId="0" xfId="0" applyFont="1" applyAlignment="1">
      <alignment horizontal="left" vertical="top"/>
    </xf>
    <xf numFmtId="0" fontId="15" fillId="0" borderId="0" xfId="0" applyFont="1" applyAlignment="1">
      <alignment horizontal="left" vertical="top" wrapText="1"/>
    </xf>
    <xf numFmtId="0" fontId="5" fillId="0" borderId="0" xfId="0" applyFont="1"/>
    <xf numFmtId="164" fontId="2" fillId="3" borderId="0" xfId="1" applyNumberFormat="1" applyFont="1" applyFill="1" applyAlignment="1">
      <alignment horizontal="center" vertical="top"/>
    </xf>
    <xf numFmtId="0" fontId="2" fillId="4" borderId="0" xfId="0" applyFont="1" applyFill="1" applyAlignment="1">
      <alignment horizontal="center" vertical="top"/>
    </xf>
    <xf numFmtId="0" fontId="2" fillId="0" borderId="0" xfId="0" applyFont="1" applyAlignment="1">
      <alignment horizontal="center" vertical="top"/>
    </xf>
    <xf numFmtId="164" fontId="2" fillId="3" borderId="0" xfId="1" applyNumberFormat="1" applyFont="1" applyFill="1" applyAlignment="1">
      <alignment horizontal="center"/>
    </xf>
    <xf numFmtId="0" fontId="2" fillId="4" borderId="0" xfId="0" applyFont="1" applyFill="1" applyAlignment="1">
      <alignment horizontal="center"/>
    </xf>
    <xf numFmtId="0" fontId="2" fillId="0" borderId="0" xfId="0" applyFont="1" applyAlignment="1">
      <alignment horizontal="center"/>
    </xf>
    <xf numFmtId="14" fontId="2" fillId="9" borderId="0" xfId="1" applyNumberFormat="1" applyFont="1" applyFill="1" applyAlignment="1">
      <alignment horizontal="center"/>
    </xf>
    <xf numFmtId="0" fontId="2" fillId="9" borderId="0" xfId="0" applyFont="1" applyFill="1" applyAlignment="1">
      <alignment horizontal="center"/>
    </xf>
    <xf numFmtId="0" fontId="8" fillId="7" borderId="0" xfId="0" applyFont="1" applyFill="1"/>
    <xf numFmtId="0" fontId="0" fillId="0" borderId="0" xfId="0"/>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12700</xdr:colOff>
      <xdr:row>0</xdr:row>
      <xdr:rowOff>12700</xdr:rowOff>
    </xdr:from>
    <xdr:to>
      <xdr:col>0</xdr:col>
      <xdr:colOff>6832600</xdr:colOff>
      <xdr:row>24</xdr:row>
      <xdr:rowOff>139700</xdr:rowOff>
    </xdr:to>
    <xdr:sp macro="" textlink="">
      <xdr:nvSpPr>
        <xdr:cNvPr id="2" name="TextBox 1">
          <a:extLst>
            <a:ext uri="{FF2B5EF4-FFF2-40B4-BE49-F238E27FC236}">
              <a16:creationId xmlns:a16="http://schemas.microsoft.com/office/drawing/2014/main" id="{850F1254-0F0B-BB22-B733-EDF4F83B354A}"/>
            </a:ext>
          </a:extLst>
        </xdr:cNvPr>
        <xdr:cNvSpPr txBox="1"/>
      </xdr:nvSpPr>
      <xdr:spPr>
        <a:xfrm>
          <a:off x="12700" y="12700"/>
          <a:ext cx="6819900" cy="5511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Estate</a:t>
          </a:r>
          <a:r>
            <a:rPr lang="en-US" sz="2400" b="1" baseline="0"/>
            <a:t> Planner:</a:t>
          </a:r>
          <a:endParaRPr lang="en-US" sz="1600" baseline="0"/>
        </a:p>
        <a:p>
          <a:r>
            <a:rPr lang="en-US" sz="1600"/>
            <a:t>The purpose of this workbook is to help you create a single view of all assets and liabilities to assist in estate planning for you and/or your executor. </a:t>
          </a:r>
        </a:p>
        <a:p>
          <a:endParaRPr lang="en-US" sz="1600"/>
        </a:p>
        <a:p>
          <a:r>
            <a:rPr lang="en-US" sz="1600"/>
            <a:t>Please complete the information on the Assets,</a:t>
          </a:r>
          <a:r>
            <a:rPr lang="en-US" sz="1600" baseline="0"/>
            <a:t> </a:t>
          </a:r>
          <a:r>
            <a:rPr lang="en-US" sz="1600"/>
            <a:t>Liabilities, and Income tabs. There are macros in this workbook that you can use to guide you through creating assets and liabilities step-by-step</a:t>
          </a:r>
          <a:r>
            <a:rPr lang="en-US" sz="1600" baseline="0"/>
            <a:t> (Just make sure to 'Enable Macros' when you open the workbook.</a:t>
          </a:r>
        </a:p>
        <a:p>
          <a:endParaRPr lang="en-US" sz="1600" baseline="0"/>
        </a:p>
        <a:p>
          <a:r>
            <a:rPr lang="en-US" sz="1600" baseline="0"/>
            <a:t>The Expenses tab is optional, but it's very helpful in determining what bills need to be paid, when do you pay them, and where do you pay them from.</a:t>
          </a:r>
        </a:p>
        <a:p>
          <a:endParaRPr lang="en-US" sz="1600" baseline="0"/>
        </a:p>
        <a:p>
          <a:r>
            <a:rPr lang="en-US" sz="2400" b="1" baseline="0"/>
            <a:t>Security Notice:</a:t>
          </a:r>
        </a:p>
        <a:p>
          <a:r>
            <a:rPr lang="en-US" sz="1600"/>
            <a:t>You will see fields for 'username' and 'website' next to each of your accounts. This is incredibly helpful to determine the best way to access your account information. But please DO NOT include your password here</a:t>
          </a:r>
          <a:r>
            <a:rPr lang="en-US" sz="1600" baseline="0"/>
            <a:t> - t</a:t>
          </a:r>
          <a:r>
            <a:rPr lang="en-US" sz="1600"/>
            <a:t>hat would not be safe.</a:t>
          </a:r>
          <a:r>
            <a:rPr lang="en-US" sz="1600" baseline="0"/>
            <a:t>  </a:t>
          </a:r>
        </a:p>
        <a:p>
          <a:endParaRPr lang="en-US" sz="1600" baseline="0"/>
        </a:p>
        <a:p>
          <a:r>
            <a:rPr lang="en-US" sz="1600" baseline="0"/>
            <a:t>This workbook does not access any information outside of your computer. It does not require an internet connection. If you wish, you can encrypt it with a password by clicking the button below. </a:t>
          </a:r>
          <a:endParaRPr lang="en-US" sz="1600"/>
        </a:p>
      </xdr:txBody>
    </xdr:sp>
    <xdr:clientData/>
  </xdr:twoCellAnchor>
  <mc:AlternateContent xmlns:mc="http://schemas.openxmlformats.org/markup-compatibility/2006">
    <mc:Choice xmlns:a14="http://schemas.microsoft.com/office/drawing/2010/main" Requires="a14">
      <xdr:twoCellAnchor>
        <xdr:from>
          <xdr:col>0</xdr:col>
          <xdr:colOff>2171700</xdr:colOff>
          <xdr:row>24</xdr:row>
          <xdr:rowOff>190500</xdr:rowOff>
        </xdr:from>
        <xdr:to>
          <xdr:col>0</xdr:col>
          <xdr:colOff>3695700</xdr:colOff>
          <xdr:row>26</xdr:row>
          <xdr:rowOff>165100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Manage Password</a:t>
              </a:r>
            </a:p>
          </xdr:txBody>
        </xdr:sp>
        <xdr:clientData fPrintsWithSheet="0"/>
      </xdr:twoCellAnchor>
    </mc:Choice>
    <mc:Fallback/>
  </mc:AlternateContent>
  <xdr:twoCellAnchor>
    <xdr:from>
      <xdr:col>0</xdr:col>
      <xdr:colOff>0</xdr:colOff>
      <xdr:row>29</xdr:row>
      <xdr:rowOff>0</xdr:rowOff>
    </xdr:from>
    <xdr:to>
      <xdr:col>0</xdr:col>
      <xdr:colOff>6819900</xdr:colOff>
      <xdr:row>42</xdr:row>
      <xdr:rowOff>152400</xdr:rowOff>
    </xdr:to>
    <xdr:sp macro="" textlink="">
      <xdr:nvSpPr>
        <xdr:cNvPr id="3" name="TextBox 2">
          <a:extLst>
            <a:ext uri="{FF2B5EF4-FFF2-40B4-BE49-F238E27FC236}">
              <a16:creationId xmlns:a16="http://schemas.microsoft.com/office/drawing/2014/main" id="{F9DC7AA5-124A-6144-9DF9-3ABA9B0E0F54}"/>
            </a:ext>
          </a:extLst>
        </xdr:cNvPr>
        <xdr:cNvSpPr txBox="1"/>
      </xdr:nvSpPr>
      <xdr:spPr>
        <a:xfrm>
          <a:off x="0" y="6400800"/>
          <a:ext cx="6819900" cy="279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Using the Workbook:</a:t>
          </a:r>
        </a:p>
        <a:p>
          <a:r>
            <a:rPr lang="en-US" sz="1600"/>
            <a:t>When</a:t>
          </a:r>
          <a:r>
            <a:rPr lang="en-US" sz="1600" baseline="0"/>
            <a:t> adding new accounts for the first time you should use the macro (it's easier), but for regular updates (i.e., changes to account balances) just modify the sheets directly.  I recommend updating annually and indicating if accounts are inactive by striking through the account number.</a:t>
          </a:r>
        </a:p>
        <a:p>
          <a:endParaRPr lang="en-US" sz="1600" baseline="0"/>
        </a:p>
        <a:p>
          <a:r>
            <a:rPr lang="en-US" sz="1600" baseline="0"/>
            <a:t>There are two helper tabs ('HelperText' and 'InputHelper') these are just there for the macro - don't delete them :).  If you want to update the Helper Text you can simply type over it when filling out the import form.  It will save it for the next time you open that type of asset.  There is no macro for the expenses tab</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0</xdr:colOff>
          <xdr:row>0</xdr:row>
          <xdr:rowOff>25400</xdr:rowOff>
        </xdr:from>
        <xdr:to>
          <xdr:col>3</xdr:col>
          <xdr:colOff>1524000</xdr:colOff>
          <xdr:row>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ptos Narrow" charset="0"/>
                </a:rPr>
                <a:t>Add New Asset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12700</xdr:colOff>
          <xdr:row>0</xdr:row>
          <xdr:rowOff>25400</xdr:rowOff>
        </xdr:from>
        <xdr:to>
          <xdr:col>3</xdr:col>
          <xdr:colOff>1536700</xdr:colOff>
          <xdr:row>1</xdr:row>
          <xdr:rowOff>114300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ptos Narrow" charset="0"/>
                </a:rPr>
                <a:t>Add New Liability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139700</xdr:colOff>
          <xdr:row>0</xdr:row>
          <xdr:rowOff>101600</xdr:rowOff>
        </xdr:from>
        <xdr:to>
          <xdr:col>3</xdr:col>
          <xdr:colOff>1663700</xdr:colOff>
          <xdr:row>1</xdr:row>
          <xdr:rowOff>190500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ptos Narrow" charset="0"/>
                </a:rPr>
                <a:t>Add New Income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279400</xdr:colOff>
          <xdr:row>1</xdr:row>
          <xdr:rowOff>76200</xdr:rowOff>
        </xdr:from>
        <xdr:to>
          <xdr:col>2</xdr:col>
          <xdr:colOff>1676400</xdr:colOff>
          <xdr:row>3</xdr:row>
          <xdr:rowOff>0</xdr:rowOff>
        </xdr:to>
        <xdr:sp macro="" textlink="">
          <xdr:nvSpPr>
            <xdr:cNvPr id="10241" name="btnSaveAndClos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Save and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279400</xdr:colOff>
          <xdr:row>1</xdr:row>
          <xdr:rowOff>76200</xdr:rowOff>
        </xdr:from>
        <xdr:to>
          <xdr:col>2</xdr:col>
          <xdr:colOff>1676400</xdr:colOff>
          <xdr:row>3</xdr:row>
          <xdr:rowOff>0</xdr:rowOff>
        </xdr:to>
        <xdr:sp macro="" textlink="">
          <xdr:nvSpPr>
            <xdr:cNvPr id="10248" name="btnConfirmSelection"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Confirm Selection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B232C-4E47-3E41-8B92-C83113FC2E21}">
  <sheetPr codeName="Sheet9">
    <tabColor theme="7"/>
  </sheetPr>
  <dimension ref="B3:E36"/>
  <sheetViews>
    <sheetView showGridLines="0" tabSelected="1" workbookViewId="0">
      <selection activeCell="E27" sqref="E27"/>
    </sheetView>
  </sheetViews>
  <sheetFormatPr baseColWidth="10" defaultRowHeight="16"/>
  <cols>
    <col min="1" max="1" width="92" customWidth="1"/>
    <col min="2" max="2" width="2.83203125" customWidth="1"/>
    <col min="3" max="3" width="17" customWidth="1"/>
    <col min="4" max="5" width="16.5" customWidth="1"/>
  </cols>
  <sheetData>
    <row r="3" spans="2:5" ht="22">
      <c r="B3" s="40" t="s">
        <v>95</v>
      </c>
      <c r="C3" s="40"/>
      <c r="D3" s="41"/>
      <c r="E3" s="41"/>
    </row>
    <row r="4" spans="2:5" ht="22">
      <c r="B4" s="38"/>
      <c r="C4" s="39" t="s">
        <v>0</v>
      </c>
      <c r="D4" s="37" t="s">
        <v>96</v>
      </c>
    </row>
    <row r="5" spans="2:5" ht="22">
      <c r="B5" s="38"/>
      <c r="C5" s="39" t="s">
        <v>18</v>
      </c>
      <c r="D5" s="37" t="s">
        <v>97</v>
      </c>
    </row>
    <row r="6" spans="2:5" ht="22">
      <c r="B6" s="38"/>
      <c r="C6" s="39" t="s">
        <v>24</v>
      </c>
      <c r="D6" s="37" t="s">
        <v>98</v>
      </c>
    </row>
    <row r="7" spans="2:5" ht="22">
      <c r="B7" s="38"/>
      <c r="C7" s="39" t="s">
        <v>30</v>
      </c>
      <c r="D7" s="37" t="s">
        <v>99</v>
      </c>
    </row>
    <row r="12" spans="2:5" ht="22">
      <c r="B12" s="40" t="s">
        <v>101</v>
      </c>
      <c r="C12" s="40"/>
      <c r="D12" s="41"/>
      <c r="E12" s="41"/>
    </row>
    <row r="13" spans="2:5">
      <c r="C13" s="51"/>
      <c r="D13" s="46" t="s">
        <v>102</v>
      </c>
      <c r="E13" s="46" t="s">
        <v>7</v>
      </c>
    </row>
    <row r="14" spans="2:5">
      <c r="C14" s="1" t="s">
        <v>0</v>
      </c>
      <c r="D14" s="42">
        <f>COUNTA(Assets!$C:$C)-COUNTA(Assets!$B:$B)</f>
        <v>0</v>
      </c>
      <c r="E14" s="6">
        <f>SUM(Assets!I3:I5000)</f>
        <v>0</v>
      </c>
    </row>
    <row r="15" spans="2:5" ht="17" thickBot="1">
      <c r="C15" s="43" t="s">
        <v>18</v>
      </c>
      <c r="D15" s="44">
        <f>COUNTA(Liabilities!$C:$C)-COUNTA(Liabilities!$B:$B)</f>
        <v>0</v>
      </c>
      <c r="E15" s="45">
        <f>Liabilities!$L$2</f>
        <v>0</v>
      </c>
    </row>
    <row r="16" spans="2:5" ht="17" thickTop="1">
      <c r="C16" s="1" t="s">
        <v>35</v>
      </c>
      <c r="D16" s="42"/>
      <c r="E16" s="6">
        <f>E14-E15</f>
        <v>0</v>
      </c>
    </row>
    <row r="17" spans="3:5">
      <c r="C17" s="1"/>
      <c r="D17" s="1"/>
      <c r="E17" s="1"/>
    </row>
    <row r="18" spans="3:5">
      <c r="C18" s="1"/>
      <c r="D18" s="1"/>
      <c r="E18" s="1"/>
    </row>
    <row r="19" spans="3:5">
      <c r="C19" s="47" t="s">
        <v>36</v>
      </c>
      <c r="D19" s="47" t="s">
        <v>37</v>
      </c>
      <c r="E19" s="47" t="s">
        <v>38</v>
      </c>
    </row>
    <row r="20" spans="3:5">
      <c r="C20" s="18" t="s">
        <v>24</v>
      </c>
      <c r="D20" s="6">
        <f>Income!I2</f>
        <v>0</v>
      </c>
      <c r="E20" s="6">
        <f>Income!J2</f>
        <v>0</v>
      </c>
    </row>
    <row r="21" spans="3:5" ht="17" thickBot="1">
      <c r="C21" s="49" t="s">
        <v>30</v>
      </c>
      <c r="D21" s="45">
        <f>E21/12</f>
        <v>0</v>
      </c>
      <c r="E21" s="45" cm="1">
        <f t="array" ref="E21">(SUMIF(Expense_Frequency,"annually",Expense_Amount)+2*(SUMIF(Expense_Frequency,"semiannually",Expense_Amount))+4*SUMIF(Expense_Frequency,"quarterly",Expense_Amount)+12*SUMIF(Expense_Frequency,"monthly",Expense_Amount)+24*SUMIF(Expense_Frequency,"bi-monthly",Expense_Amount)+52*SUMIF(Expense_Frequency,"weekly",Expense_Amount))</f>
        <v>0</v>
      </c>
    </row>
    <row r="22" spans="3:5" ht="17" thickTop="1">
      <c r="C22" s="1" t="s">
        <v>87</v>
      </c>
      <c r="D22" s="48">
        <f>D20-D21</f>
        <v>0</v>
      </c>
      <c r="E22" s="48">
        <f>E20-E21</f>
        <v>0</v>
      </c>
    </row>
    <row r="23" spans="3:5">
      <c r="C23" s="1"/>
      <c r="D23" s="1"/>
      <c r="E23" s="1"/>
    </row>
    <row r="24" spans="3:5">
      <c r="C24" s="50"/>
      <c r="D24" s="1"/>
      <c r="E24" s="1"/>
    </row>
    <row r="25" spans="3:5">
      <c r="C25" s="18"/>
      <c r="D25" s="1"/>
      <c r="E25" s="1"/>
    </row>
    <row r="26" spans="3:5">
      <c r="C26" s="18"/>
      <c r="D26" s="1"/>
      <c r="E26" s="1"/>
    </row>
    <row r="27" spans="3:5">
      <c r="C27" s="18"/>
      <c r="D27" s="1"/>
      <c r="E27" s="1"/>
    </row>
    <row r="28" spans="3:5">
      <c r="C28" s="18"/>
      <c r="D28" s="1"/>
      <c r="E28" s="1"/>
    </row>
    <row r="29" spans="3:5">
      <c r="C29" s="1"/>
      <c r="D29" s="1"/>
      <c r="E29" s="1"/>
    </row>
    <row r="30" spans="3:5">
      <c r="C30" s="1"/>
      <c r="D30" s="1"/>
      <c r="E30" s="1"/>
    </row>
    <row r="31" spans="3:5">
      <c r="C31" s="1"/>
      <c r="D31" s="1"/>
      <c r="E31" s="1"/>
    </row>
    <row r="32" spans="3:5">
      <c r="C32" s="18"/>
      <c r="D32" s="1"/>
      <c r="E32" s="1"/>
    </row>
    <row r="33" spans="3:5">
      <c r="C33" s="18"/>
      <c r="D33" s="1"/>
      <c r="E33" s="1"/>
    </row>
    <row r="34" spans="3:5">
      <c r="C34" s="18"/>
      <c r="D34" s="1"/>
      <c r="E34" s="1"/>
    </row>
    <row r="35" spans="3:5">
      <c r="C35" s="18"/>
      <c r="D35" s="1"/>
      <c r="E35" s="1"/>
    </row>
    <row r="36" spans="3:5">
      <c r="C36" s="34"/>
      <c r="D36" s="1"/>
      <c r="E36" s="1"/>
    </row>
  </sheetData>
  <hyperlinks>
    <hyperlink ref="C4" location="Assets!A1" display="Assets" xr:uid="{087A5BBB-5500-F24F-9CDA-80EC6B7CA028}"/>
    <hyperlink ref="C5" location="Liabilities!A1" display="Liabilities" xr:uid="{15E19170-9BA0-9944-A0D6-173E03865798}"/>
    <hyperlink ref="C6" location="Income!A1" display="Income" xr:uid="{03D807F0-3432-9949-A8C9-59FEADBEE394}"/>
    <hyperlink ref="C7" location="Expenses!A1" display="Expenses" xr:uid="{DD7C8C4E-CCAE-F847-8D4F-EF8336D9A59D}"/>
  </hyperlink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howPasswordSettings">
                <anchor moveWithCells="1" sizeWithCells="1">
                  <from>
                    <xdr:col>0</xdr:col>
                    <xdr:colOff>2171700</xdr:colOff>
                    <xdr:row>24</xdr:row>
                    <xdr:rowOff>190500</xdr:rowOff>
                  </from>
                  <to>
                    <xdr:col>0</xdr:col>
                    <xdr:colOff>3695700</xdr:colOff>
                    <xdr:row>26</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BD6E3-27C5-4C44-B0D8-A137DCA70261}">
  <sheetPr codeName="Sheet1">
    <tabColor theme="7"/>
  </sheetPr>
  <dimension ref="A1:O53"/>
  <sheetViews>
    <sheetView workbookViewId="0">
      <pane xSplit="3" ySplit="2" topLeftCell="D3" activePane="bottomRight" state="frozen"/>
      <selection pane="topRight" activeCell="D1" sqref="D1"/>
      <selection pane="bottomLeft" activeCell="A3" sqref="A3"/>
      <selection pane="bottomRight" activeCell="A6" sqref="A6:XFD6"/>
    </sheetView>
  </sheetViews>
  <sheetFormatPr baseColWidth="10" defaultRowHeight="16"/>
  <cols>
    <col min="1" max="2" width="3.33203125" style="57" customWidth="1"/>
    <col min="3" max="3" width="23.6640625" style="57" bestFit="1" customWidth="1"/>
    <col min="4" max="4" width="24.1640625" style="57" customWidth="1"/>
    <col min="5" max="5" width="19.33203125" style="57" customWidth="1"/>
    <col min="6" max="6" width="21.83203125" style="57" customWidth="1"/>
    <col min="7" max="7" width="20.33203125" style="57" customWidth="1"/>
    <col min="8" max="8" width="21.33203125" style="63" customWidth="1"/>
    <col min="9" max="9" width="17.83203125" style="60" customWidth="1"/>
    <col min="10" max="10" width="13.5" style="61" bestFit="1" customWidth="1"/>
    <col min="11" max="11" width="19.5" style="57" customWidth="1"/>
    <col min="12" max="12" width="16.83203125" style="57" customWidth="1"/>
    <col min="13" max="13" width="27.5" style="57" customWidth="1"/>
    <col min="14" max="14" width="35.83203125" style="57" customWidth="1"/>
    <col min="15" max="15" width="39" style="57" customWidth="1"/>
    <col min="16" max="16384" width="10.83203125" style="57"/>
  </cols>
  <sheetData>
    <row r="1" spans="1:15" ht="23">
      <c r="A1" s="56" t="s">
        <v>0</v>
      </c>
      <c r="H1" s="77" t="s">
        <v>70</v>
      </c>
      <c r="I1" s="77"/>
      <c r="J1" s="77"/>
      <c r="K1" s="78" t="s">
        <v>72</v>
      </c>
      <c r="L1" s="78"/>
      <c r="M1" s="78"/>
      <c r="N1" s="78"/>
      <c r="O1" s="58" t="s">
        <v>76</v>
      </c>
    </row>
    <row r="2" spans="1:15">
      <c r="H2" s="59" t="s">
        <v>71</v>
      </c>
      <c r="I2" s="60">
        <f>SUM(I3:I5000)-SUM(H3:H5000)</f>
        <v>0</v>
      </c>
      <c r="K2" s="79" t="s">
        <v>142</v>
      </c>
      <c r="L2" s="79"/>
      <c r="M2" s="79"/>
      <c r="N2" s="79"/>
    </row>
    <row r="3" spans="1:15">
      <c r="B3" s="62" t="s">
        <v>5</v>
      </c>
    </row>
    <row r="4" spans="1:15">
      <c r="B4" s="62"/>
      <c r="C4" s="64" t="s">
        <v>42</v>
      </c>
      <c r="D4" s="64" t="s">
        <v>2</v>
      </c>
      <c r="E4" s="64" t="s">
        <v>39</v>
      </c>
      <c r="F4" s="64"/>
      <c r="G4" s="64" t="s">
        <v>3</v>
      </c>
      <c r="H4" s="65" t="s">
        <v>104</v>
      </c>
      <c r="I4" s="65" t="s">
        <v>4</v>
      </c>
      <c r="J4" s="66" t="s">
        <v>40</v>
      </c>
      <c r="K4" s="67" t="s">
        <v>73</v>
      </c>
      <c r="L4" s="67" t="s">
        <v>74</v>
      </c>
      <c r="M4" s="67" t="s">
        <v>106</v>
      </c>
      <c r="N4" s="67" t="s">
        <v>75</v>
      </c>
      <c r="O4" s="68" t="s">
        <v>78</v>
      </c>
    </row>
    <row r="5" spans="1:15">
      <c r="B5" s="62"/>
      <c r="I5" s="69"/>
      <c r="J5" s="70"/>
      <c r="N5" s="71"/>
    </row>
    <row r="6" spans="1:15">
      <c r="B6" s="62"/>
      <c r="I6" s="69"/>
      <c r="J6" s="70"/>
      <c r="N6" s="71"/>
    </row>
    <row r="7" spans="1:15">
      <c r="B7" s="62" t="s">
        <v>6</v>
      </c>
      <c r="I7" s="69"/>
      <c r="J7" s="70"/>
    </row>
    <row r="8" spans="1:15">
      <c r="B8" s="62"/>
      <c r="C8" s="64" t="s">
        <v>42</v>
      </c>
      <c r="D8" s="64" t="s">
        <v>2</v>
      </c>
      <c r="E8" s="64" t="s">
        <v>39</v>
      </c>
      <c r="F8" s="64" t="s">
        <v>105</v>
      </c>
      <c r="G8" s="64" t="s">
        <v>3</v>
      </c>
      <c r="H8" s="65" t="s">
        <v>104</v>
      </c>
      <c r="I8" s="65" t="s">
        <v>7</v>
      </c>
      <c r="J8" s="66" t="s">
        <v>40</v>
      </c>
      <c r="K8" s="67" t="s">
        <v>73</v>
      </c>
      <c r="L8" s="67" t="s">
        <v>74</v>
      </c>
      <c r="M8" s="67" t="s">
        <v>106</v>
      </c>
      <c r="N8" s="67" t="s">
        <v>75</v>
      </c>
      <c r="O8" s="68" t="s">
        <v>78</v>
      </c>
    </row>
    <row r="9" spans="1:15">
      <c r="B9" s="62"/>
    </row>
    <row r="10" spans="1:15">
      <c r="B10" s="62"/>
    </row>
    <row r="11" spans="1:15">
      <c r="B11" s="62" t="s">
        <v>321</v>
      </c>
      <c r="D11" s="72" t="s">
        <v>143</v>
      </c>
    </row>
    <row r="12" spans="1:15">
      <c r="B12" s="62"/>
      <c r="C12" s="64" t="s">
        <v>42</v>
      </c>
      <c r="D12" s="64" t="s">
        <v>2</v>
      </c>
      <c r="E12" s="64" t="s">
        <v>39</v>
      </c>
      <c r="F12" s="64" t="s">
        <v>105</v>
      </c>
      <c r="G12" s="64" t="s">
        <v>3</v>
      </c>
      <c r="H12" s="65"/>
      <c r="I12" s="65" t="s">
        <v>7</v>
      </c>
      <c r="J12" s="66" t="s">
        <v>40</v>
      </c>
      <c r="K12" s="67" t="s">
        <v>73</v>
      </c>
      <c r="L12" s="67" t="s">
        <v>74</v>
      </c>
      <c r="M12" s="67" t="s">
        <v>106</v>
      </c>
      <c r="N12" s="67" t="s">
        <v>75</v>
      </c>
      <c r="O12" s="68" t="s">
        <v>78</v>
      </c>
    </row>
    <row r="13" spans="1:15">
      <c r="B13" s="62"/>
    </row>
    <row r="14" spans="1:15">
      <c r="B14" s="62"/>
    </row>
    <row r="15" spans="1:15">
      <c r="B15" s="62" t="s">
        <v>148</v>
      </c>
      <c r="D15" s="72" t="s">
        <v>127</v>
      </c>
    </row>
    <row r="16" spans="1:15">
      <c r="B16" s="62"/>
      <c r="C16" s="64" t="s">
        <v>42</v>
      </c>
      <c r="D16" s="64" t="s">
        <v>2</v>
      </c>
      <c r="E16" s="64" t="s">
        <v>39</v>
      </c>
      <c r="F16" s="64" t="s">
        <v>105</v>
      </c>
      <c r="G16" s="64" t="s">
        <v>3</v>
      </c>
      <c r="H16" s="65"/>
      <c r="I16" s="65" t="s">
        <v>7</v>
      </c>
      <c r="J16" s="66" t="s">
        <v>40</v>
      </c>
      <c r="K16" s="67" t="s">
        <v>73</v>
      </c>
      <c r="L16" s="67" t="s">
        <v>74</v>
      </c>
      <c r="M16" s="67" t="s">
        <v>106</v>
      </c>
      <c r="N16" s="67" t="s">
        <v>75</v>
      </c>
      <c r="O16" s="68" t="s">
        <v>78</v>
      </c>
    </row>
    <row r="17" spans="2:15">
      <c r="B17" s="62"/>
    </row>
    <row r="18" spans="2:15">
      <c r="B18" s="62"/>
    </row>
    <row r="19" spans="2:15">
      <c r="B19" s="62" t="s">
        <v>119</v>
      </c>
      <c r="D19" s="72" t="s">
        <v>120</v>
      </c>
    </row>
    <row r="20" spans="2:15">
      <c r="B20" s="62"/>
      <c r="C20" s="64" t="s">
        <v>42</v>
      </c>
      <c r="D20" s="64" t="s">
        <v>2</v>
      </c>
      <c r="E20" s="64" t="s">
        <v>39</v>
      </c>
      <c r="F20" s="64" t="s">
        <v>105</v>
      </c>
      <c r="G20" s="64" t="s">
        <v>3</v>
      </c>
      <c r="H20" s="65"/>
      <c r="I20" s="65" t="s">
        <v>7</v>
      </c>
      <c r="J20" s="66" t="s">
        <v>40</v>
      </c>
      <c r="K20" s="67" t="s">
        <v>73</v>
      </c>
      <c r="L20" s="67" t="s">
        <v>74</v>
      </c>
      <c r="M20" s="67" t="s">
        <v>106</v>
      </c>
      <c r="N20" s="67" t="s">
        <v>75</v>
      </c>
      <c r="O20" s="68" t="s">
        <v>78</v>
      </c>
    </row>
    <row r="21" spans="2:15">
      <c r="B21" s="62"/>
    </row>
    <row r="22" spans="2:15">
      <c r="B22" s="62"/>
    </row>
    <row r="23" spans="2:15">
      <c r="B23" s="62" t="s">
        <v>121</v>
      </c>
      <c r="D23" s="72" t="s">
        <v>122</v>
      </c>
    </row>
    <row r="24" spans="2:15">
      <c r="B24" s="62"/>
      <c r="C24" s="64" t="s">
        <v>42</v>
      </c>
      <c r="D24" s="64" t="s">
        <v>2</v>
      </c>
      <c r="E24" s="64" t="s">
        <v>39</v>
      </c>
      <c r="F24" s="64" t="s">
        <v>105</v>
      </c>
      <c r="G24" s="64"/>
      <c r="H24" s="65"/>
      <c r="I24" s="65" t="s">
        <v>7</v>
      </c>
      <c r="J24" s="66" t="s">
        <v>40</v>
      </c>
      <c r="K24" s="67" t="s">
        <v>73</v>
      </c>
      <c r="L24" s="67" t="s">
        <v>74</v>
      </c>
      <c r="M24" s="67" t="s">
        <v>106</v>
      </c>
      <c r="N24" s="67" t="s">
        <v>75</v>
      </c>
      <c r="O24" s="68" t="s">
        <v>78</v>
      </c>
    </row>
    <row r="25" spans="2:15">
      <c r="B25" s="62"/>
    </row>
    <row r="26" spans="2:15">
      <c r="B26" s="62"/>
    </row>
    <row r="27" spans="2:15">
      <c r="B27" s="62" t="s">
        <v>322</v>
      </c>
    </row>
    <row r="28" spans="2:15">
      <c r="B28" s="62"/>
      <c r="C28" s="64" t="s">
        <v>8</v>
      </c>
      <c r="D28" s="64"/>
      <c r="E28" s="64" t="s">
        <v>107</v>
      </c>
      <c r="F28" s="64" t="s">
        <v>105</v>
      </c>
      <c r="G28" s="64" t="s">
        <v>128</v>
      </c>
      <c r="H28" s="65" t="s">
        <v>9</v>
      </c>
      <c r="I28" s="65" t="s">
        <v>7</v>
      </c>
      <c r="J28" s="66" t="s">
        <v>40</v>
      </c>
      <c r="K28" s="67" t="s">
        <v>73</v>
      </c>
      <c r="L28" s="67" t="s">
        <v>74</v>
      </c>
      <c r="M28" s="67" t="s">
        <v>106</v>
      </c>
      <c r="N28" s="67" t="s">
        <v>75</v>
      </c>
      <c r="O28" s="68" t="s">
        <v>78</v>
      </c>
    </row>
    <row r="29" spans="2:15">
      <c r="B29" s="62"/>
    </row>
    <row r="30" spans="2:15">
      <c r="B30" s="62"/>
    </row>
    <row r="31" spans="2:15">
      <c r="B31" s="62" t="s">
        <v>151</v>
      </c>
    </row>
    <row r="32" spans="2:15">
      <c r="B32" s="62"/>
      <c r="C32" s="64" t="s">
        <v>10</v>
      </c>
      <c r="D32" s="64" t="s">
        <v>8</v>
      </c>
      <c r="E32" s="64"/>
      <c r="F32" s="64" t="s">
        <v>105</v>
      </c>
      <c r="G32" s="64" t="s">
        <v>11</v>
      </c>
      <c r="H32" s="65"/>
      <c r="I32" s="65" t="s">
        <v>7</v>
      </c>
      <c r="J32" s="66" t="s">
        <v>40</v>
      </c>
      <c r="K32" s="67" t="s">
        <v>73</v>
      </c>
      <c r="L32" s="67" t="s">
        <v>74</v>
      </c>
      <c r="M32" s="67" t="s">
        <v>106</v>
      </c>
      <c r="N32" s="67" t="s">
        <v>75</v>
      </c>
      <c r="O32" s="68" t="s">
        <v>78</v>
      </c>
    </row>
    <row r="33" spans="2:15">
      <c r="B33" s="62"/>
    </row>
    <row r="34" spans="2:15">
      <c r="B34" s="62"/>
    </row>
    <row r="35" spans="2:15">
      <c r="B35" s="62" t="s">
        <v>150</v>
      </c>
    </row>
    <row r="36" spans="2:15">
      <c r="B36" s="62"/>
      <c r="C36" s="64" t="s">
        <v>12</v>
      </c>
      <c r="D36" s="64" t="s">
        <v>123</v>
      </c>
      <c r="E36" s="64" t="s">
        <v>13</v>
      </c>
      <c r="F36" s="64" t="s">
        <v>105</v>
      </c>
      <c r="G36" s="64"/>
      <c r="H36" s="65" t="s">
        <v>313</v>
      </c>
      <c r="I36" s="65" t="s">
        <v>7</v>
      </c>
      <c r="J36" s="66" t="s">
        <v>40</v>
      </c>
      <c r="K36" s="67" t="s">
        <v>73</v>
      </c>
      <c r="L36" s="67" t="s">
        <v>74</v>
      </c>
      <c r="M36" s="67" t="s">
        <v>106</v>
      </c>
      <c r="N36" s="67" t="s">
        <v>75</v>
      </c>
      <c r="O36" s="68" t="s">
        <v>78</v>
      </c>
    </row>
    <row r="37" spans="2:15">
      <c r="B37" s="62"/>
    </row>
    <row r="38" spans="2:15">
      <c r="B38" s="62"/>
    </row>
    <row r="39" spans="2:15">
      <c r="B39" s="62" t="s">
        <v>213</v>
      </c>
      <c r="D39" s="72" t="s">
        <v>100</v>
      </c>
    </row>
    <row r="40" spans="2:15">
      <c r="B40" s="62"/>
      <c r="C40" s="64" t="s">
        <v>14</v>
      </c>
      <c r="D40" s="64" t="s">
        <v>15</v>
      </c>
      <c r="E40" s="64"/>
      <c r="F40" s="64" t="s">
        <v>105</v>
      </c>
      <c r="G40" s="64"/>
      <c r="H40" s="65" t="s">
        <v>16</v>
      </c>
      <c r="I40" s="65" t="s">
        <v>7</v>
      </c>
      <c r="J40" s="66" t="s">
        <v>40</v>
      </c>
      <c r="K40" s="67" t="s">
        <v>73</v>
      </c>
      <c r="L40" s="67" t="s">
        <v>74</v>
      </c>
      <c r="M40" s="67" t="s">
        <v>106</v>
      </c>
      <c r="N40" s="67" t="s">
        <v>75</v>
      </c>
      <c r="O40" s="68" t="s">
        <v>78</v>
      </c>
    </row>
    <row r="41" spans="2:15">
      <c r="B41" s="62"/>
    </row>
    <row r="42" spans="2:15">
      <c r="B42" s="62"/>
    </row>
    <row r="43" spans="2:15">
      <c r="B43" s="62" t="s">
        <v>93</v>
      </c>
      <c r="D43" s="72" t="s">
        <v>94</v>
      </c>
    </row>
    <row r="44" spans="2:15">
      <c r="B44" s="62"/>
      <c r="C44" s="64" t="s">
        <v>17</v>
      </c>
      <c r="D44" s="64"/>
      <c r="E44" s="64"/>
      <c r="F44" s="64" t="s">
        <v>105</v>
      </c>
      <c r="G44" s="64"/>
      <c r="H44" s="65"/>
      <c r="I44" s="65" t="s">
        <v>7</v>
      </c>
      <c r="J44" s="66" t="s">
        <v>40</v>
      </c>
      <c r="K44" s="67" t="s">
        <v>73</v>
      </c>
      <c r="L44" s="67" t="s">
        <v>74</v>
      </c>
      <c r="M44" s="67" t="s">
        <v>106</v>
      </c>
      <c r="N44" s="67" t="s">
        <v>75</v>
      </c>
      <c r="O44" s="68" t="s">
        <v>78</v>
      </c>
    </row>
    <row r="45" spans="2:15">
      <c r="B45" s="62"/>
    </row>
    <row r="47" spans="2:15">
      <c r="B47" s="62" t="s">
        <v>124</v>
      </c>
      <c r="D47" s="72"/>
    </row>
    <row r="48" spans="2:15">
      <c r="B48" s="62"/>
      <c r="C48" s="64" t="s">
        <v>17</v>
      </c>
      <c r="D48" s="64" t="s">
        <v>125</v>
      </c>
      <c r="E48" s="64" t="s">
        <v>126</v>
      </c>
      <c r="F48" s="64" t="s">
        <v>105</v>
      </c>
      <c r="G48" s="64"/>
      <c r="H48" s="65"/>
      <c r="I48" s="65" t="s">
        <v>7</v>
      </c>
      <c r="J48" s="66" t="s">
        <v>40</v>
      </c>
      <c r="K48" s="67" t="s">
        <v>73</v>
      </c>
      <c r="L48" s="67" t="s">
        <v>74</v>
      </c>
      <c r="M48" s="67" t="s">
        <v>106</v>
      </c>
      <c r="N48" s="67" t="s">
        <v>75</v>
      </c>
      <c r="O48" s="68" t="s">
        <v>78</v>
      </c>
    </row>
    <row r="49" spans="2:15">
      <c r="B49" s="62"/>
    </row>
    <row r="51" spans="2:15">
      <c r="B51" s="62" t="s">
        <v>215</v>
      </c>
      <c r="D51" s="72"/>
    </row>
    <row r="52" spans="2:15">
      <c r="B52" s="62"/>
      <c r="C52" s="64" t="s">
        <v>216</v>
      </c>
      <c r="D52" s="64" t="s">
        <v>125</v>
      </c>
      <c r="E52" s="64" t="s">
        <v>217</v>
      </c>
      <c r="F52" s="64" t="s">
        <v>105</v>
      </c>
      <c r="G52" s="64"/>
      <c r="H52" s="65"/>
      <c r="I52" s="65" t="s">
        <v>7</v>
      </c>
      <c r="J52" s="66" t="s">
        <v>40</v>
      </c>
      <c r="K52" s="67" t="s">
        <v>73</v>
      </c>
      <c r="L52" s="67" t="s">
        <v>74</v>
      </c>
      <c r="M52" s="67" t="s">
        <v>106</v>
      </c>
      <c r="N52" s="67" t="s">
        <v>75</v>
      </c>
      <c r="O52" s="68" t="s">
        <v>78</v>
      </c>
    </row>
    <row r="53" spans="2:15">
      <c r="B53" s="62"/>
    </row>
  </sheetData>
  <mergeCells count="3">
    <mergeCell ref="H1:J1"/>
    <mergeCell ref="K1:N1"/>
    <mergeCell ref="K2:N2"/>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NewEntry">
                <anchor>
                  <from>
                    <xdr:col>3</xdr:col>
                    <xdr:colOff>0</xdr:colOff>
                    <xdr:row>0</xdr:row>
                    <xdr:rowOff>25400</xdr:rowOff>
                  </from>
                  <to>
                    <xdr:col>3</xdr:col>
                    <xdr:colOff>1524000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62A3B-1DD1-2946-A40E-BD2A18360C86}">
  <sheetPr codeName="Sheet2">
    <tabColor theme="7"/>
  </sheetPr>
  <dimension ref="A1:R26"/>
  <sheetViews>
    <sheetView workbookViewId="0">
      <pane xSplit="3" ySplit="2" topLeftCell="D3" activePane="bottomRight" state="frozen"/>
      <selection pane="topRight" activeCell="D1" sqref="D1"/>
      <selection pane="bottomLeft" activeCell="A3" sqref="A3"/>
      <selection pane="bottomRight" activeCell="D28" sqref="D28"/>
    </sheetView>
  </sheetViews>
  <sheetFormatPr baseColWidth="10" defaultRowHeight="16"/>
  <cols>
    <col min="1" max="2" width="3.33203125" style="12" customWidth="1"/>
    <col min="3" max="3" width="28.1640625" style="12" customWidth="1"/>
    <col min="4" max="4" width="24" style="12" customWidth="1"/>
    <col min="5" max="5" width="29.83203125" style="7" customWidth="1"/>
    <col min="6" max="6" width="24.1640625" style="9" customWidth="1"/>
    <col min="7" max="9" width="17.83203125" style="9" customWidth="1"/>
    <col min="10" max="10" width="23.1640625" style="9" customWidth="1"/>
    <col min="11" max="11" width="11.5" style="9" customWidth="1"/>
    <col min="12" max="12" width="20.6640625" style="30" customWidth="1"/>
    <col min="13" max="13" width="13.5" style="20" bestFit="1" customWidth="1"/>
    <col min="14" max="14" width="20" style="12" customWidth="1"/>
    <col min="15" max="16" width="21" style="12" customWidth="1"/>
    <col min="17" max="17" width="27.33203125" style="12" customWidth="1"/>
    <col min="18" max="18" width="25.1640625" style="12" customWidth="1"/>
    <col min="19" max="16384" width="10.83203125" style="12"/>
  </cols>
  <sheetData>
    <row r="1" spans="1:18" ht="23">
      <c r="A1" s="11" t="s">
        <v>18</v>
      </c>
      <c r="H1" s="83" t="s">
        <v>86</v>
      </c>
      <c r="I1" s="83"/>
      <c r="J1" s="83"/>
      <c r="K1" s="83"/>
      <c r="L1" s="80" t="s">
        <v>70</v>
      </c>
      <c r="M1" s="80"/>
      <c r="N1" s="81" t="s">
        <v>72</v>
      </c>
      <c r="O1" s="81"/>
      <c r="P1" s="81"/>
      <c r="Q1" s="81"/>
      <c r="R1" s="23" t="s">
        <v>76</v>
      </c>
    </row>
    <row r="2" spans="1:18">
      <c r="L2" s="29">
        <f>SUM(L3:L5000)</f>
        <v>0</v>
      </c>
      <c r="N2" s="82" t="s">
        <v>142</v>
      </c>
      <c r="O2" s="82"/>
      <c r="P2" s="82"/>
      <c r="Q2" s="82"/>
    </row>
    <row r="3" spans="1:18">
      <c r="B3" s="14" t="s">
        <v>19</v>
      </c>
    </row>
    <row r="4" spans="1:18">
      <c r="C4" s="15" t="s">
        <v>41</v>
      </c>
      <c r="D4" s="15" t="s">
        <v>2</v>
      </c>
      <c r="E4" s="8" t="s">
        <v>43</v>
      </c>
      <c r="F4" s="10" t="s">
        <v>44</v>
      </c>
      <c r="G4" s="10" t="s">
        <v>45</v>
      </c>
      <c r="H4" s="46" t="s">
        <v>81</v>
      </c>
      <c r="I4" s="46" t="s">
        <v>82</v>
      </c>
      <c r="J4" s="54" t="s">
        <v>84</v>
      </c>
      <c r="K4" s="53" t="s">
        <v>80</v>
      </c>
      <c r="L4" s="52" t="s">
        <v>20</v>
      </c>
      <c r="M4" s="31" t="s">
        <v>40</v>
      </c>
      <c r="N4" s="22" t="s">
        <v>73</v>
      </c>
      <c r="O4" s="22" t="s">
        <v>74</v>
      </c>
      <c r="P4" s="22" t="s">
        <v>106</v>
      </c>
      <c r="Q4" s="22" t="s">
        <v>75</v>
      </c>
      <c r="R4" s="25" t="s">
        <v>77</v>
      </c>
    </row>
    <row r="5" spans="1:18">
      <c r="L5" s="29"/>
    </row>
    <row r="6" spans="1:18">
      <c r="L6" s="29"/>
    </row>
    <row r="7" spans="1:18">
      <c r="B7" s="14" t="s">
        <v>21</v>
      </c>
      <c r="L7" s="29"/>
    </row>
    <row r="8" spans="1:18">
      <c r="C8" s="15" t="s">
        <v>41</v>
      </c>
      <c r="D8" s="15" t="s">
        <v>2</v>
      </c>
      <c r="E8" s="8" t="s">
        <v>43</v>
      </c>
      <c r="F8" s="10" t="s">
        <v>44</v>
      </c>
      <c r="G8" s="10" t="s">
        <v>45</v>
      </c>
      <c r="H8" s="46" t="s">
        <v>81</v>
      </c>
      <c r="I8" s="46" t="s">
        <v>82</v>
      </c>
      <c r="J8" s="54" t="s">
        <v>84</v>
      </c>
      <c r="K8" s="53" t="s">
        <v>80</v>
      </c>
      <c r="L8" s="52" t="s">
        <v>20</v>
      </c>
      <c r="M8" s="31" t="s">
        <v>40</v>
      </c>
      <c r="N8" s="22" t="s">
        <v>73</v>
      </c>
      <c r="O8" s="22" t="s">
        <v>74</v>
      </c>
      <c r="P8" s="22" t="s">
        <v>106</v>
      </c>
      <c r="Q8" s="22" t="s">
        <v>75</v>
      </c>
      <c r="R8" s="25" t="s">
        <v>77</v>
      </c>
    </row>
    <row r="9" spans="1:18">
      <c r="L9" s="29"/>
    </row>
    <row r="10" spans="1:18">
      <c r="L10" s="29"/>
    </row>
    <row r="11" spans="1:18">
      <c r="B11" s="14" t="s">
        <v>129</v>
      </c>
      <c r="L11" s="29"/>
    </row>
    <row r="12" spans="1:18">
      <c r="C12" s="15" t="s">
        <v>41</v>
      </c>
      <c r="D12" s="15" t="s">
        <v>2</v>
      </c>
      <c r="E12" s="8" t="s">
        <v>43</v>
      </c>
      <c r="F12" s="10" t="s">
        <v>44</v>
      </c>
      <c r="G12" s="10" t="s">
        <v>45</v>
      </c>
      <c r="H12" s="46" t="s">
        <v>81</v>
      </c>
      <c r="I12" s="46" t="s">
        <v>82</v>
      </c>
      <c r="J12" s="54" t="s">
        <v>84</v>
      </c>
      <c r="K12" s="53" t="s">
        <v>80</v>
      </c>
      <c r="L12" s="52" t="s">
        <v>20</v>
      </c>
      <c r="M12" s="31" t="s">
        <v>40</v>
      </c>
      <c r="N12" s="22" t="s">
        <v>73</v>
      </c>
      <c r="O12" s="22" t="s">
        <v>74</v>
      </c>
      <c r="P12" s="22" t="s">
        <v>106</v>
      </c>
      <c r="Q12" s="22" t="s">
        <v>75</v>
      </c>
      <c r="R12" s="25" t="s">
        <v>77</v>
      </c>
    </row>
    <row r="13" spans="1:18">
      <c r="L13" s="29"/>
    </row>
    <row r="14" spans="1:18">
      <c r="L14" s="29"/>
    </row>
    <row r="15" spans="1:18">
      <c r="B15" s="14" t="s">
        <v>22</v>
      </c>
      <c r="L15" s="29"/>
    </row>
    <row r="16" spans="1:18">
      <c r="C16" s="15" t="s">
        <v>41</v>
      </c>
      <c r="D16" s="15" t="s">
        <v>2</v>
      </c>
      <c r="E16" s="8" t="s">
        <v>79</v>
      </c>
      <c r="F16" s="10" t="s">
        <v>44</v>
      </c>
      <c r="G16" s="10"/>
      <c r="H16" s="46" t="s">
        <v>81</v>
      </c>
      <c r="I16" s="46" t="s">
        <v>82</v>
      </c>
      <c r="J16" s="54" t="s">
        <v>84</v>
      </c>
      <c r="K16" s="53" t="s">
        <v>80</v>
      </c>
      <c r="L16" s="52" t="s">
        <v>20</v>
      </c>
      <c r="M16" s="31" t="s">
        <v>40</v>
      </c>
      <c r="N16" s="22" t="s">
        <v>73</v>
      </c>
      <c r="O16" s="22" t="s">
        <v>74</v>
      </c>
      <c r="P16" s="22" t="s">
        <v>106</v>
      </c>
      <c r="Q16" s="22" t="s">
        <v>75</v>
      </c>
      <c r="R16" s="25" t="s">
        <v>77</v>
      </c>
    </row>
    <row r="17" spans="2:18">
      <c r="L17" s="29"/>
    </row>
    <row r="18" spans="2:18">
      <c r="L18" s="29"/>
    </row>
    <row r="19" spans="2:18">
      <c r="B19" s="14" t="s">
        <v>23</v>
      </c>
      <c r="D19" s="55" t="s">
        <v>130</v>
      </c>
      <c r="L19" s="29"/>
    </row>
    <row r="20" spans="2:18">
      <c r="C20" s="15" t="s">
        <v>41</v>
      </c>
      <c r="D20" s="15" t="s">
        <v>2</v>
      </c>
      <c r="E20" s="8" t="s">
        <v>43</v>
      </c>
      <c r="F20" s="10" t="s">
        <v>44</v>
      </c>
      <c r="G20" s="10" t="s">
        <v>45</v>
      </c>
      <c r="H20" s="46" t="s">
        <v>81</v>
      </c>
      <c r="I20" s="46" t="s">
        <v>82</v>
      </c>
      <c r="J20" s="54" t="s">
        <v>84</v>
      </c>
      <c r="K20" s="53" t="s">
        <v>80</v>
      </c>
      <c r="L20" s="52" t="s">
        <v>20</v>
      </c>
      <c r="M20" s="31" t="s">
        <v>40</v>
      </c>
      <c r="N20" s="22" t="s">
        <v>73</v>
      </c>
      <c r="O20" s="22" t="s">
        <v>74</v>
      </c>
      <c r="P20" s="22" t="s">
        <v>106</v>
      </c>
      <c r="Q20" s="22" t="s">
        <v>75</v>
      </c>
      <c r="R20" s="25" t="s">
        <v>77</v>
      </c>
    </row>
    <row r="21" spans="2:18">
      <c r="L21" s="29"/>
    </row>
    <row r="22" spans="2:18">
      <c r="L22" s="29"/>
    </row>
    <row r="23" spans="2:18">
      <c r="L23" s="29"/>
    </row>
    <row r="24" spans="2:18">
      <c r="L24" s="29"/>
    </row>
    <row r="25" spans="2:18">
      <c r="L25" s="29"/>
    </row>
    <row r="26" spans="2:18">
      <c r="L26" s="29"/>
    </row>
  </sheetData>
  <mergeCells count="4">
    <mergeCell ref="L1:M1"/>
    <mergeCell ref="N1:Q1"/>
    <mergeCell ref="N2:Q2"/>
    <mergeCell ref="H1:K1"/>
  </mergeCells>
  <dataValidations count="3">
    <dataValidation type="list" allowBlank="1" showInputMessage="1" showErrorMessage="1" sqref="H5:H6 H9:H10 H13:H14 H17:H18" xr:uid="{7643A00C-94F8-FE49-BBF5-BF4CCD5229B8}">
      <formula1>frequency</formula1>
    </dataValidation>
    <dataValidation type="list" allowBlank="1" showInputMessage="1" showErrorMessage="1" sqref="I5:I6 I9:I10 I13:I14 I17:I18" xr:uid="{28A6F9B4-FAD5-0F42-B4BA-FA8D4F1ACBEA}">
      <formula1>payment_types</formula1>
    </dataValidation>
    <dataValidation type="list" allowBlank="1" showInputMessage="1" showErrorMessage="1" sqref="K5:K6 K9:K10 K13:K14 K17:K18" xr:uid="{C8D375EE-C337-EE41-8083-786399AA5791}">
      <formula1>"yes, no"</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AddNewEntry">
                <anchor>
                  <from>
                    <xdr:col>3</xdr:col>
                    <xdr:colOff>12700</xdr:colOff>
                    <xdr:row>0</xdr:row>
                    <xdr:rowOff>25400</xdr:rowOff>
                  </from>
                  <to>
                    <xdr:col>3</xdr:col>
                    <xdr:colOff>1536700</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28D7B-0D70-D449-B22C-D85509919276}">
  <sheetPr codeName="Sheet3">
    <tabColor theme="7"/>
  </sheetPr>
  <dimension ref="A1:P28"/>
  <sheetViews>
    <sheetView workbookViewId="0">
      <pane xSplit="3" ySplit="2" topLeftCell="D3" activePane="bottomRight" state="frozen"/>
      <selection pane="topRight" activeCell="D1" sqref="D1"/>
      <selection pane="bottomLeft" activeCell="A3" sqref="A3"/>
      <selection pane="bottomRight" activeCell="D7" sqref="D7"/>
    </sheetView>
  </sheetViews>
  <sheetFormatPr baseColWidth="10" defaultRowHeight="16"/>
  <cols>
    <col min="1" max="2" width="3.33203125" style="1" customWidth="1"/>
    <col min="3" max="3" width="22.5" style="1" customWidth="1"/>
    <col min="4" max="4" width="31.1640625" style="1" customWidth="1"/>
    <col min="5" max="6" width="21.33203125" style="1" customWidth="1"/>
    <col min="7" max="7" width="21.5" style="1" customWidth="1"/>
    <col min="8" max="8" width="10.83203125" style="1"/>
    <col min="9" max="9" width="26" style="28" customWidth="1"/>
    <col min="10" max="10" width="22" style="28" customWidth="1"/>
    <col min="11" max="11" width="19.5" style="1" customWidth="1"/>
    <col min="12" max="13" width="21.1640625" style="1" customWidth="1"/>
    <col min="14" max="14" width="29.83203125" style="1" customWidth="1"/>
    <col min="15" max="15" width="21.1640625" style="1" customWidth="1"/>
    <col min="16" max="16" width="30.83203125" style="1" customWidth="1"/>
    <col min="17" max="16384" width="10.83203125" style="1"/>
  </cols>
  <sheetData>
    <row r="1" spans="1:16" ht="23">
      <c r="A1" s="2" t="s">
        <v>24</v>
      </c>
      <c r="I1" s="80" t="s">
        <v>70</v>
      </c>
      <c r="J1" s="80"/>
      <c r="K1" s="80"/>
      <c r="L1" s="81" t="s">
        <v>72</v>
      </c>
      <c r="M1" s="81"/>
      <c r="N1" s="81"/>
      <c r="O1" s="81"/>
      <c r="P1" s="23" t="s">
        <v>76</v>
      </c>
    </row>
    <row r="2" spans="1:16">
      <c r="I2" s="28">
        <f>SUM(I3:I508)</f>
        <v>0</v>
      </c>
      <c r="J2" s="28">
        <f>SUM(J3:J508)</f>
        <v>0</v>
      </c>
      <c r="L2" s="82" t="s">
        <v>142</v>
      </c>
      <c r="M2" s="82"/>
      <c r="N2" s="82"/>
      <c r="O2" s="82"/>
      <c r="P2" s="12"/>
    </row>
    <row r="3" spans="1:16">
      <c r="B3" s="3" t="s">
        <v>131</v>
      </c>
      <c r="L3" s="12"/>
      <c r="M3" s="12"/>
      <c r="N3" s="12"/>
      <c r="O3" s="12"/>
      <c r="P3" s="12"/>
    </row>
    <row r="4" spans="1:16">
      <c r="C4" s="4" t="s">
        <v>1</v>
      </c>
      <c r="D4" s="4" t="s">
        <v>2</v>
      </c>
      <c r="E4" s="4" t="s">
        <v>81</v>
      </c>
      <c r="F4" s="4" t="s">
        <v>82</v>
      </c>
      <c r="G4" s="4" t="s">
        <v>83</v>
      </c>
      <c r="H4" s="4" t="s">
        <v>46</v>
      </c>
      <c r="I4" s="26" t="s">
        <v>28</v>
      </c>
      <c r="J4" s="26" t="s">
        <v>29</v>
      </c>
      <c r="K4" s="24" t="s">
        <v>40</v>
      </c>
      <c r="L4" s="22" t="s">
        <v>73</v>
      </c>
      <c r="M4" s="22" t="s">
        <v>74</v>
      </c>
      <c r="N4" s="22" t="s">
        <v>106</v>
      </c>
      <c r="O4" s="22" t="s">
        <v>75</v>
      </c>
      <c r="P4" s="25" t="s">
        <v>77</v>
      </c>
    </row>
    <row r="5" spans="1:16">
      <c r="I5" s="27"/>
      <c r="J5" s="27"/>
    </row>
    <row r="7" spans="1:16">
      <c r="B7" s="3" t="s">
        <v>324</v>
      </c>
      <c r="D7" s="76" t="s">
        <v>325</v>
      </c>
    </row>
    <row r="8" spans="1:16">
      <c r="C8" s="4" t="s">
        <v>1</v>
      </c>
      <c r="D8" s="4" t="s">
        <v>2</v>
      </c>
      <c r="E8" s="4" t="s">
        <v>81</v>
      </c>
      <c r="F8" s="4" t="s">
        <v>82</v>
      </c>
      <c r="G8" s="4" t="s">
        <v>83</v>
      </c>
      <c r="H8" s="4" t="s">
        <v>46</v>
      </c>
      <c r="I8" s="26" t="s">
        <v>28</v>
      </c>
      <c r="J8" s="26" t="s">
        <v>29</v>
      </c>
      <c r="K8" s="24" t="s">
        <v>40</v>
      </c>
      <c r="L8" s="22" t="s">
        <v>73</v>
      </c>
      <c r="M8" s="22" t="s">
        <v>74</v>
      </c>
      <c r="N8" s="22" t="s">
        <v>106</v>
      </c>
      <c r="O8" s="22" t="s">
        <v>75</v>
      </c>
      <c r="P8" s="25" t="s">
        <v>77</v>
      </c>
    </row>
    <row r="11" spans="1:16">
      <c r="B11" s="3" t="s">
        <v>132</v>
      </c>
    </row>
    <row r="12" spans="1:16">
      <c r="C12" s="4" t="s">
        <v>1</v>
      </c>
      <c r="D12" s="4" t="s">
        <v>2</v>
      </c>
      <c r="E12" s="4" t="s">
        <v>81</v>
      </c>
      <c r="F12" s="4" t="s">
        <v>82</v>
      </c>
      <c r="G12" s="4" t="s">
        <v>83</v>
      </c>
      <c r="H12" s="4" t="s">
        <v>46</v>
      </c>
      <c r="I12" s="26" t="s">
        <v>28</v>
      </c>
      <c r="J12" s="26" t="s">
        <v>29</v>
      </c>
      <c r="K12" s="24" t="s">
        <v>40</v>
      </c>
      <c r="L12" s="22" t="s">
        <v>73</v>
      </c>
      <c r="M12" s="22" t="s">
        <v>74</v>
      </c>
      <c r="N12" s="22" t="s">
        <v>106</v>
      </c>
      <c r="O12" s="22" t="s">
        <v>75</v>
      </c>
      <c r="P12" s="25" t="s">
        <v>77</v>
      </c>
    </row>
    <row r="15" spans="1:16">
      <c r="B15" s="3" t="s">
        <v>133</v>
      </c>
    </row>
    <row r="16" spans="1:16">
      <c r="C16" s="4" t="s">
        <v>1</v>
      </c>
      <c r="D16" s="4" t="s">
        <v>2</v>
      </c>
      <c r="E16" s="4" t="s">
        <v>81</v>
      </c>
      <c r="F16" s="4" t="s">
        <v>82</v>
      </c>
      <c r="G16" s="4" t="s">
        <v>83</v>
      </c>
      <c r="H16" s="4" t="s">
        <v>46</v>
      </c>
      <c r="I16" s="26" t="s">
        <v>28</v>
      </c>
      <c r="J16" s="26" t="s">
        <v>29</v>
      </c>
      <c r="K16" s="24" t="s">
        <v>40</v>
      </c>
      <c r="L16" s="22" t="s">
        <v>73</v>
      </c>
      <c r="M16" s="22" t="s">
        <v>74</v>
      </c>
      <c r="N16" s="22" t="s">
        <v>106</v>
      </c>
      <c r="O16" s="22" t="s">
        <v>75</v>
      </c>
      <c r="P16" s="25" t="s">
        <v>77</v>
      </c>
    </row>
    <row r="19" spans="2:16">
      <c r="B19" s="3" t="s">
        <v>25</v>
      </c>
    </row>
    <row r="20" spans="2:16">
      <c r="C20" s="4" t="s">
        <v>1</v>
      </c>
      <c r="D20" s="4" t="s">
        <v>2</v>
      </c>
      <c r="E20" s="4" t="s">
        <v>81</v>
      </c>
      <c r="F20" s="4" t="s">
        <v>82</v>
      </c>
      <c r="G20" s="4" t="s">
        <v>83</v>
      </c>
      <c r="H20" s="4" t="s">
        <v>46</v>
      </c>
      <c r="I20" s="26" t="s">
        <v>28</v>
      </c>
      <c r="J20" s="26" t="s">
        <v>29</v>
      </c>
      <c r="K20" s="24" t="s">
        <v>40</v>
      </c>
      <c r="L20" s="22" t="s">
        <v>73</v>
      </c>
      <c r="M20" s="22" t="s">
        <v>74</v>
      </c>
      <c r="N20" s="22" t="s">
        <v>106</v>
      </c>
      <c r="O20" s="22" t="s">
        <v>75</v>
      </c>
      <c r="P20" s="25" t="s">
        <v>77</v>
      </c>
    </row>
    <row r="23" spans="2:16">
      <c r="B23" s="3" t="s">
        <v>26</v>
      </c>
    </row>
    <row r="24" spans="2:16">
      <c r="C24" s="4" t="s">
        <v>1</v>
      </c>
      <c r="D24" s="4" t="s">
        <v>2</v>
      </c>
      <c r="E24" s="4" t="s">
        <v>81</v>
      </c>
      <c r="F24" s="4" t="s">
        <v>82</v>
      </c>
      <c r="G24" s="4" t="s">
        <v>83</v>
      </c>
      <c r="H24" s="4" t="s">
        <v>46</v>
      </c>
      <c r="I24" s="26" t="s">
        <v>28</v>
      </c>
      <c r="J24" s="26" t="s">
        <v>29</v>
      </c>
      <c r="K24" s="24" t="s">
        <v>40</v>
      </c>
      <c r="L24" s="22" t="s">
        <v>73</v>
      </c>
      <c r="M24" s="22" t="s">
        <v>74</v>
      </c>
      <c r="N24" s="22" t="s">
        <v>106</v>
      </c>
      <c r="O24" s="22" t="s">
        <v>75</v>
      </c>
      <c r="P24" s="25" t="s">
        <v>77</v>
      </c>
    </row>
    <row r="27" spans="2:16">
      <c r="B27" s="3" t="s">
        <v>27</v>
      </c>
    </row>
    <row r="28" spans="2:16">
      <c r="C28" s="4" t="s">
        <v>1</v>
      </c>
      <c r="D28" s="4" t="s">
        <v>2</v>
      </c>
      <c r="E28" s="4" t="s">
        <v>81</v>
      </c>
      <c r="F28" s="4" t="s">
        <v>82</v>
      </c>
      <c r="G28" s="4" t="s">
        <v>83</v>
      </c>
      <c r="H28" s="4" t="s">
        <v>46</v>
      </c>
      <c r="I28" s="26" t="s">
        <v>28</v>
      </c>
      <c r="J28" s="26" t="s">
        <v>29</v>
      </c>
      <c r="K28" s="24" t="s">
        <v>40</v>
      </c>
      <c r="L28" s="22" t="s">
        <v>73</v>
      </c>
      <c r="M28" s="22" t="s">
        <v>74</v>
      </c>
      <c r="N28" s="22" t="s">
        <v>106</v>
      </c>
      <c r="O28" s="22" t="s">
        <v>75</v>
      </c>
      <c r="P28" s="25" t="s">
        <v>77</v>
      </c>
    </row>
  </sheetData>
  <mergeCells count="3">
    <mergeCell ref="I1:K1"/>
    <mergeCell ref="L1:O1"/>
    <mergeCell ref="L2:O2"/>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AddNewEntry">
                <anchor>
                  <from>
                    <xdr:col>3</xdr:col>
                    <xdr:colOff>139700</xdr:colOff>
                    <xdr:row>0</xdr:row>
                    <xdr:rowOff>101600</xdr:rowOff>
                  </from>
                  <to>
                    <xdr:col>3</xdr:col>
                    <xdr:colOff>1663700</xdr:colOff>
                    <xdr:row>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F11C-B335-4547-B555-0D48CA0F5A98}">
  <sheetPr codeName="Sheet4">
    <tabColor theme="7"/>
  </sheetPr>
  <dimension ref="A1:O62"/>
  <sheetViews>
    <sheetView workbookViewId="0">
      <selection activeCell="D33" sqref="D33"/>
    </sheetView>
  </sheetViews>
  <sheetFormatPr baseColWidth="10" defaultRowHeight="16"/>
  <cols>
    <col min="1" max="3" width="3.33203125" style="12" customWidth="1"/>
    <col min="4" max="4" width="22.5" style="12" customWidth="1"/>
    <col min="5" max="5" width="25.6640625" style="12" customWidth="1"/>
    <col min="6" max="6" width="26" style="13" customWidth="1"/>
    <col min="7" max="7" width="26" style="30" customWidth="1"/>
    <col min="8" max="8" width="13.6640625" style="5" customWidth="1"/>
    <col min="9" max="9" width="17.33203125" style="5" customWidth="1"/>
    <col min="10" max="10" width="21.5" style="12" customWidth="1"/>
    <col min="11" max="11" width="29.1640625" style="12" customWidth="1"/>
    <col min="12" max="13" width="16.1640625" style="12" customWidth="1"/>
    <col min="14" max="14" width="16.5" style="12" bestFit="1" customWidth="1"/>
    <col min="15" max="15" width="34.1640625" style="12" customWidth="1"/>
    <col min="16" max="16384" width="10.83203125" style="12"/>
  </cols>
  <sheetData>
    <row r="1" spans="1:15" ht="23">
      <c r="A1" s="11" t="s">
        <v>30</v>
      </c>
      <c r="H1" s="84" t="s">
        <v>86</v>
      </c>
      <c r="I1" s="84"/>
      <c r="J1" s="84"/>
      <c r="K1" s="81" t="s">
        <v>72</v>
      </c>
      <c r="L1" s="81"/>
      <c r="M1" s="81"/>
      <c r="N1" s="81"/>
      <c r="O1" s="23" t="s">
        <v>76</v>
      </c>
    </row>
    <row r="2" spans="1:15">
      <c r="J2" s="17"/>
      <c r="K2" s="82" t="s">
        <v>142</v>
      </c>
      <c r="L2" s="82"/>
      <c r="M2" s="82"/>
      <c r="N2" s="82"/>
    </row>
    <row r="3" spans="1:15">
      <c r="B3" s="14" t="s">
        <v>51</v>
      </c>
      <c r="C3" s="14"/>
    </row>
    <row r="4" spans="1:15">
      <c r="C4" s="14" t="s">
        <v>134</v>
      </c>
    </row>
    <row r="5" spans="1:15">
      <c r="D5" s="15" t="s">
        <v>66</v>
      </c>
      <c r="E5" s="15" t="s">
        <v>137</v>
      </c>
      <c r="F5" s="15"/>
      <c r="G5" s="33" t="s">
        <v>48</v>
      </c>
      <c r="H5" s="46" t="s">
        <v>81</v>
      </c>
      <c r="I5" s="46" t="s">
        <v>82</v>
      </c>
      <c r="J5" s="54" t="s">
        <v>84</v>
      </c>
      <c r="K5" s="22" t="s">
        <v>73</v>
      </c>
      <c r="L5" s="22" t="s">
        <v>74</v>
      </c>
      <c r="M5" s="22" t="s">
        <v>106</v>
      </c>
      <c r="N5" s="22" t="s">
        <v>75</v>
      </c>
      <c r="O5" s="25" t="s">
        <v>77</v>
      </c>
    </row>
    <row r="6" spans="1:15">
      <c r="D6" s="12" t="s">
        <v>135</v>
      </c>
      <c r="G6" s="21"/>
    </row>
    <row r="7" spans="1:15">
      <c r="D7" s="12" t="s">
        <v>136</v>
      </c>
      <c r="G7" s="21"/>
    </row>
    <row r="8" spans="1:15">
      <c r="D8" s="12" t="s">
        <v>64</v>
      </c>
      <c r="G8" s="21"/>
    </row>
    <row r="9" spans="1:15">
      <c r="G9" s="21"/>
    </row>
    <row r="10" spans="1:15">
      <c r="C10" s="14" t="s">
        <v>31</v>
      </c>
    </row>
    <row r="11" spans="1:15">
      <c r="D11" s="15" t="s">
        <v>39</v>
      </c>
      <c r="E11" s="15" t="s">
        <v>47</v>
      </c>
      <c r="F11" s="15" t="s">
        <v>2</v>
      </c>
      <c r="G11" s="32" t="s">
        <v>85</v>
      </c>
      <c r="H11" s="46" t="s">
        <v>81</v>
      </c>
      <c r="I11" s="46" t="s">
        <v>82</v>
      </c>
      <c r="J11" s="54" t="s">
        <v>84</v>
      </c>
      <c r="K11" s="22" t="s">
        <v>73</v>
      </c>
      <c r="L11" s="22" t="s">
        <v>74</v>
      </c>
      <c r="M11" s="22" t="s">
        <v>106</v>
      </c>
      <c r="N11" s="22" t="s">
        <v>75</v>
      </c>
      <c r="O11" s="25" t="s">
        <v>77</v>
      </c>
    </row>
    <row r="12" spans="1:15">
      <c r="D12" s="19" t="s">
        <v>59</v>
      </c>
    </row>
    <row r="13" spans="1:15">
      <c r="D13" s="18" t="s">
        <v>55</v>
      </c>
    </row>
    <row r="14" spans="1:15">
      <c r="D14" s="18" t="s">
        <v>57</v>
      </c>
    </row>
    <row r="15" spans="1:15">
      <c r="D15" s="18" t="s">
        <v>58</v>
      </c>
    </row>
    <row r="16" spans="1:15">
      <c r="D16" s="18" t="s">
        <v>144</v>
      </c>
    </row>
    <row r="17" spans="3:15">
      <c r="D17" s="18" t="s">
        <v>56</v>
      </c>
    </row>
    <row r="18" spans="3:15">
      <c r="D18" s="19" t="s">
        <v>60</v>
      </c>
    </row>
    <row r="19" spans="3:15">
      <c r="D19" s="18" t="s">
        <v>334</v>
      </c>
    </row>
    <row r="20" spans="3:15">
      <c r="D20" s="18" t="s">
        <v>335</v>
      </c>
      <c r="E20" s="12" t="s">
        <v>329</v>
      </c>
    </row>
    <row r="21" spans="3:15">
      <c r="D21" s="18" t="s">
        <v>61</v>
      </c>
    </row>
    <row r="22" spans="3:15">
      <c r="D22" s="18" t="s">
        <v>336</v>
      </c>
    </row>
    <row r="23" spans="3:15">
      <c r="D23" s="18" t="s">
        <v>337</v>
      </c>
    </row>
    <row r="24" spans="3:15">
      <c r="D24" s="18" t="s">
        <v>62</v>
      </c>
    </row>
    <row r="25" spans="3:15">
      <c r="D25" s="18" t="s">
        <v>69</v>
      </c>
    </row>
    <row r="26" spans="3:15">
      <c r="D26" s="19" t="s">
        <v>338</v>
      </c>
    </row>
    <row r="27" spans="3:15">
      <c r="D27" s="18" t="s">
        <v>342</v>
      </c>
    </row>
    <row r="28" spans="3:15">
      <c r="D28" s="18" t="s">
        <v>63</v>
      </c>
      <c r="F28" s="12"/>
      <c r="G28" s="12"/>
      <c r="H28" s="12"/>
      <c r="I28" s="12"/>
    </row>
    <row r="29" spans="3:15">
      <c r="D29" s="18" t="s">
        <v>65</v>
      </c>
      <c r="F29" s="12"/>
      <c r="G29" s="12"/>
      <c r="H29" s="12"/>
      <c r="I29" s="12"/>
    </row>
    <row r="30" spans="3:15">
      <c r="C30" s="14" t="s">
        <v>32</v>
      </c>
    </row>
    <row r="31" spans="3:15">
      <c r="D31" s="15" t="s">
        <v>66</v>
      </c>
      <c r="E31" s="15"/>
      <c r="F31" s="16"/>
      <c r="G31" s="33" t="s">
        <v>48</v>
      </c>
      <c r="H31" s="46" t="s">
        <v>81</v>
      </c>
      <c r="I31" s="46" t="s">
        <v>82</v>
      </c>
      <c r="J31" s="54" t="s">
        <v>84</v>
      </c>
      <c r="K31" s="22" t="s">
        <v>73</v>
      </c>
      <c r="L31" s="22" t="s">
        <v>74</v>
      </c>
      <c r="M31" s="22" t="s">
        <v>106</v>
      </c>
      <c r="N31" s="22" t="s">
        <v>75</v>
      </c>
      <c r="O31" s="25" t="s">
        <v>77</v>
      </c>
    </row>
    <row r="32" spans="3:15">
      <c r="D32" s="12" t="s">
        <v>343</v>
      </c>
      <c r="G32" s="21"/>
    </row>
    <row r="33" spans="3:15">
      <c r="D33" s="12" t="s">
        <v>344</v>
      </c>
      <c r="G33" s="21"/>
    </row>
    <row r="34" spans="3:15" ht="17" customHeight="1">
      <c r="G34" s="21"/>
    </row>
    <row r="35" spans="3:15">
      <c r="C35" s="14" t="s">
        <v>333</v>
      </c>
      <c r="G35" s="21"/>
    </row>
    <row r="36" spans="3:15">
      <c r="D36" s="15" t="s">
        <v>1</v>
      </c>
      <c r="E36" s="15" t="s">
        <v>2</v>
      </c>
      <c r="F36" s="16"/>
      <c r="G36" s="33" t="s">
        <v>48</v>
      </c>
      <c r="H36" s="46" t="s">
        <v>81</v>
      </c>
      <c r="I36" s="46" t="s">
        <v>82</v>
      </c>
      <c r="J36" s="54" t="s">
        <v>84</v>
      </c>
      <c r="K36" s="22" t="s">
        <v>73</v>
      </c>
      <c r="L36" s="22" t="s">
        <v>74</v>
      </c>
      <c r="M36" s="22" t="s">
        <v>106</v>
      </c>
      <c r="N36" s="22" t="s">
        <v>75</v>
      </c>
      <c r="O36" s="25" t="s">
        <v>77</v>
      </c>
    </row>
    <row r="37" spans="3:15">
      <c r="D37" s="12" t="s">
        <v>339</v>
      </c>
      <c r="G37" s="21"/>
    </row>
    <row r="38" spans="3:15">
      <c r="D38" s="12" t="s">
        <v>340</v>
      </c>
      <c r="G38" s="21"/>
    </row>
    <row r="39" spans="3:15">
      <c r="G39" s="21"/>
    </row>
    <row r="40" spans="3:15">
      <c r="C40" s="14" t="s">
        <v>34</v>
      </c>
      <c r="G40" s="21"/>
    </row>
    <row r="41" spans="3:15">
      <c r="D41" s="15" t="s">
        <v>1</v>
      </c>
      <c r="E41" s="15" t="s">
        <v>2</v>
      </c>
      <c r="F41" s="16"/>
      <c r="G41" s="33" t="s">
        <v>48</v>
      </c>
      <c r="H41" s="46" t="s">
        <v>81</v>
      </c>
      <c r="I41" s="46" t="s">
        <v>82</v>
      </c>
      <c r="J41" s="54" t="s">
        <v>84</v>
      </c>
      <c r="K41" s="22" t="s">
        <v>73</v>
      </c>
      <c r="L41" s="22" t="s">
        <v>74</v>
      </c>
      <c r="M41" s="22" t="s">
        <v>106</v>
      </c>
      <c r="N41" s="22" t="s">
        <v>75</v>
      </c>
      <c r="O41" s="25" t="s">
        <v>77</v>
      </c>
    </row>
    <row r="42" spans="3:15">
      <c r="D42" s="12" t="s">
        <v>341</v>
      </c>
      <c r="G42" s="21"/>
    </row>
    <row r="43" spans="3:15">
      <c r="G43" s="21"/>
    </row>
    <row r="44" spans="3:15">
      <c r="C44" s="14" t="s">
        <v>52</v>
      </c>
      <c r="G44" s="21"/>
    </row>
    <row r="45" spans="3:15">
      <c r="D45" s="15" t="s">
        <v>39</v>
      </c>
      <c r="E45" s="15" t="s">
        <v>2</v>
      </c>
      <c r="F45" s="16"/>
      <c r="G45" s="33" t="s">
        <v>48</v>
      </c>
      <c r="H45" s="46" t="s">
        <v>81</v>
      </c>
      <c r="I45" s="46" t="s">
        <v>82</v>
      </c>
      <c r="J45" s="54" t="s">
        <v>84</v>
      </c>
      <c r="K45" s="22" t="s">
        <v>73</v>
      </c>
      <c r="L45" s="22" t="s">
        <v>74</v>
      </c>
      <c r="M45" s="22" t="s">
        <v>106</v>
      </c>
      <c r="N45" s="22" t="s">
        <v>75</v>
      </c>
      <c r="O45" s="25" t="s">
        <v>77</v>
      </c>
    </row>
    <row r="46" spans="3:15">
      <c r="D46" s="12" t="s">
        <v>67</v>
      </c>
    </row>
    <row r="47" spans="3:15">
      <c r="D47" s="12" t="s">
        <v>68</v>
      </c>
    </row>
    <row r="50" spans="2:15">
      <c r="B50" s="14" t="s">
        <v>50</v>
      </c>
    </row>
    <row r="51" spans="2:15">
      <c r="C51" s="14" t="s">
        <v>53</v>
      </c>
    </row>
    <row r="52" spans="2:15">
      <c r="D52" s="15" t="s">
        <v>39</v>
      </c>
      <c r="E52" s="15" t="s">
        <v>54</v>
      </c>
      <c r="F52" s="16" t="s">
        <v>39</v>
      </c>
      <c r="G52" s="33" t="s">
        <v>48</v>
      </c>
      <c r="H52" s="46" t="s">
        <v>81</v>
      </c>
      <c r="I52" s="46" t="s">
        <v>82</v>
      </c>
      <c r="J52" s="54" t="s">
        <v>84</v>
      </c>
      <c r="K52" s="22" t="s">
        <v>73</v>
      </c>
      <c r="L52" s="22" t="s">
        <v>74</v>
      </c>
      <c r="M52" s="22" t="s">
        <v>106</v>
      </c>
      <c r="N52" s="22" t="s">
        <v>75</v>
      </c>
      <c r="O52" s="25" t="s">
        <v>77</v>
      </c>
    </row>
    <row r="53" spans="2:15">
      <c r="D53" s="12" t="s">
        <v>33</v>
      </c>
    </row>
    <row r="54" spans="2:15">
      <c r="D54" s="12" t="s">
        <v>331</v>
      </c>
    </row>
    <row r="55" spans="2:15">
      <c r="D55" s="12" t="s">
        <v>332</v>
      </c>
    </row>
    <row r="56" spans="2:15">
      <c r="D56" s="12" t="s">
        <v>141</v>
      </c>
    </row>
    <row r="57" spans="2:15">
      <c r="D57" s="12" t="s">
        <v>140</v>
      </c>
    </row>
    <row r="58" spans="2:15">
      <c r="D58" s="12" t="s">
        <v>139</v>
      </c>
    </row>
    <row r="59" spans="2:15">
      <c r="D59" s="12" t="s">
        <v>138</v>
      </c>
    </row>
    <row r="61" spans="2:15">
      <c r="C61" s="14" t="s">
        <v>209</v>
      </c>
    </row>
    <row r="62" spans="2:15">
      <c r="D62" s="15" t="s">
        <v>39</v>
      </c>
      <c r="E62" s="15"/>
      <c r="F62" s="16"/>
      <c r="G62" s="33" t="s">
        <v>48</v>
      </c>
      <c r="H62" s="46" t="s">
        <v>81</v>
      </c>
      <c r="I62" s="46" t="s">
        <v>82</v>
      </c>
      <c r="J62" s="54" t="s">
        <v>84</v>
      </c>
      <c r="K62" s="22" t="s">
        <v>73</v>
      </c>
      <c r="L62" s="22" t="s">
        <v>74</v>
      </c>
      <c r="M62" s="22" t="s">
        <v>106</v>
      </c>
      <c r="N62" s="22" t="s">
        <v>75</v>
      </c>
      <c r="O62" s="25" t="s">
        <v>77</v>
      </c>
    </row>
  </sheetData>
  <mergeCells count="3">
    <mergeCell ref="K1:N1"/>
    <mergeCell ref="K2:N2"/>
    <mergeCell ref="H1:J1"/>
  </mergeCells>
  <dataValidations count="2">
    <dataValidation type="list" allowBlank="1" showInputMessage="1" showErrorMessage="1" sqref="I63 I56:I59 I46:I49 I37:I39 I27 I12:I17 I53 I32:I34 I6:I9 I19:I25 I42:I43" xr:uid="{F690BCA8-6F5A-3C48-A3E9-F9875D72064B}">
      <formula1>payment_types</formula1>
    </dataValidation>
    <dataValidation type="list" allowBlank="1" showInputMessage="1" showErrorMessage="1" sqref="H46:H49 H53:H60 H6:H9 H63 H32:H34 H37:H39 H12:H27 H42:H43" xr:uid="{64048E0B-D318-004E-A4A1-1C53C38BEEFE}">
      <formula1>frequency</formula1>
    </dataValidation>
  </dataValidation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BEF83-08D1-8942-9FCA-5A8B1C36083C}">
  <sheetPr codeName="Sheet8"/>
  <dimension ref="A1:F154"/>
  <sheetViews>
    <sheetView workbookViewId="0">
      <selection activeCell="D12" sqref="D12"/>
    </sheetView>
  </sheetViews>
  <sheetFormatPr baseColWidth="10" defaultRowHeight="16"/>
  <cols>
    <col min="1" max="1" width="9" bestFit="1" customWidth="1"/>
    <col min="2" max="2" width="42.5" bestFit="1" customWidth="1"/>
    <col min="3" max="3" width="18" bestFit="1" customWidth="1"/>
    <col min="4" max="4" width="99.5" bestFit="1" customWidth="1"/>
  </cols>
  <sheetData>
    <row r="1" spans="1:6">
      <c r="A1" s="35" t="s">
        <v>88</v>
      </c>
      <c r="B1" s="35" t="s">
        <v>66</v>
      </c>
      <c r="C1" s="35" t="s">
        <v>89</v>
      </c>
      <c r="D1" s="35" t="s">
        <v>90</v>
      </c>
      <c r="F1" s="35" t="s">
        <v>108</v>
      </c>
    </row>
    <row r="2" spans="1:6">
      <c r="A2" s="85" t="s">
        <v>92</v>
      </c>
      <c r="B2" s="86"/>
      <c r="C2" s="86"/>
      <c r="D2" s="86"/>
      <c r="F2" s="36" t="s">
        <v>49</v>
      </c>
    </row>
    <row r="3" spans="1:6">
      <c r="A3" t="s">
        <v>91</v>
      </c>
      <c r="B3" t="s">
        <v>91</v>
      </c>
      <c r="C3" t="s">
        <v>2</v>
      </c>
      <c r="D3" t="s">
        <v>145</v>
      </c>
      <c r="F3" t="s">
        <v>109</v>
      </c>
    </row>
    <row r="4" spans="1:6">
      <c r="A4" t="s">
        <v>91</v>
      </c>
      <c r="B4" t="s">
        <v>91</v>
      </c>
      <c r="C4" t="s">
        <v>39</v>
      </c>
      <c r="D4" t="s">
        <v>218</v>
      </c>
      <c r="F4" t="s">
        <v>110</v>
      </c>
    </row>
    <row r="5" spans="1:6">
      <c r="A5" t="s">
        <v>91</v>
      </c>
      <c r="B5" t="s">
        <v>91</v>
      </c>
      <c r="C5" t="s">
        <v>40</v>
      </c>
      <c r="D5" t="s">
        <v>219</v>
      </c>
      <c r="F5" t="s">
        <v>103</v>
      </c>
    </row>
    <row r="6" spans="1:6">
      <c r="A6" t="s">
        <v>91</v>
      </c>
      <c r="B6" t="s">
        <v>91</v>
      </c>
      <c r="C6" t="s">
        <v>73</v>
      </c>
      <c r="D6" t="s">
        <v>220</v>
      </c>
      <c r="F6" t="s">
        <v>111</v>
      </c>
    </row>
    <row r="7" spans="1:6">
      <c r="A7" t="s">
        <v>91</v>
      </c>
      <c r="B7" t="s">
        <v>91</v>
      </c>
      <c r="C7" t="s">
        <v>74</v>
      </c>
      <c r="D7" t="s">
        <v>221</v>
      </c>
      <c r="F7" t="s">
        <v>328</v>
      </c>
    </row>
    <row r="8" spans="1:6">
      <c r="A8" t="s">
        <v>91</v>
      </c>
      <c r="B8" t="s">
        <v>91</v>
      </c>
      <c r="C8" t="s">
        <v>75</v>
      </c>
      <c r="D8" t="s">
        <v>222</v>
      </c>
      <c r="F8" t="s">
        <v>112</v>
      </c>
    </row>
    <row r="9" spans="1:6">
      <c r="A9" t="s">
        <v>91</v>
      </c>
      <c r="B9" t="s">
        <v>91</v>
      </c>
      <c r="C9" t="s">
        <v>214</v>
      </c>
      <c r="D9" t="s">
        <v>223</v>
      </c>
      <c r="F9" t="s">
        <v>118</v>
      </c>
    </row>
    <row r="10" spans="1:6">
      <c r="A10" t="s">
        <v>91</v>
      </c>
      <c r="B10" t="s">
        <v>91</v>
      </c>
      <c r="C10" t="s">
        <v>78</v>
      </c>
      <c r="D10" t="s">
        <v>224</v>
      </c>
    </row>
    <row r="11" spans="1:6">
      <c r="A11" t="s">
        <v>91</v>
      </c>
      <c r="B11" t="s">
        <v>91</v>
      </c>
      <c r="C11" t="s">
        <v>105</v>
      </c>
      <c r="D11" t="s">
        <v>225</v>
      </c>
    </row>
    <row r="12" spans="1:6">
      <c r="A12" t="s">
        <v>91</v>
      </c>
      <c r="B12" t="s">
        <v>91</v>
      </c>
      <c r="C12" t="s">
        <v>146</v>
      </c>
      <c r="D12" t="s">
        <v>226</v>
      </c>
      <c r="F12" s="36" t="s">
        <v>113</v>
      </c>
    </row>
    <row r="13" spans="1:6">
      <c r="A13" t="s">
        <v>91</v>
      </c>
      <c r="B13" t="s">
        <v>91</v>
      </c>
      <c r="C13" t="s">
        <v>81</v>
      </c>
      <c r="D13" t="s">
        <v>227</v>
      </c>
      <c r="F13" t="s">
        <v>330</v>
      </c>
    </row>
    <row r="14" spans="1:6">
      <c r="A14" t="s">
        <v>91</v>
      </c>
      <c r="B14" t="s">
        <v>91</v>
      </c>
      <c r="C14" t="s">
        <v>82</v>
      </c>
      <c r="D14" t="s">
        <v>228</v>
      </c>
      <c r="F14" t="s">
        <v>114</v>
      </c>
    </row>
    <row r="15" spans="1:6">
      <c r="A15" t="s">
        <v>91</v>
      </c>
      <c r="B15" t="s">
        <v>91</v>
      </c>
      <c r="C15" t="s">
        <v>84</v>
      </c>
      <c r="D15" t="s">
        <v>229</v>
      </c>
      <c r="F15" t="s">
        <v>115</v>
      </c>
    </row>
    <row r="16" spans="1:6">
      <c r="A16" t="s">
        <v>0</v>
      </c>
      <c r="B16" t="s">
        <v>91</v>
      </c>
      <c r="C16" t="s">
        <v>42</v>
      </c>
      <c r="D16" t="s">
        <v>230</v>
      </c>
      <c r="F16" t="s">
        <v>116</v>
      </c>
    </row>
    <row r="17" spans="1:6">
      <c r="A17" t="s">
        <v>0</v>
      </c>
      <c r="B17" t="s">
        <v>91</v>
      </c>
      <c r="C17" t="s">
        <v>3</v>
      </c>
      <c r="D17" t="s">
        <v>231</v>
      </c>
      <c r="F17" t="s">
        <v>117</v>
      </c>
    </row>
    <row r="18" spans="1:6">
      <c r="A18" t="s">
        <v>0</v>
      </c>
      <c r="B18" t="s">
        <v>91</v>
      </c>
      <c r="C18" t="s">
        <v>7</v>
      </c>
      <c r="D18" t="s">
        <v>232</v>
      </c>
      <c r="F18" t="s">
        <v>118</v>
      </c>
    </row>
    <row r="19" spans="1:6">
      <c r="A19" t="s">
        <v>0</v>
      </c>
      <c r="B19" t="s">
        <v>91</v>
      </c>
      <c r="C19" t="s">
        <v>4</v>
      </c>
      <c r="D19" t="s">
        <v>233</v>
      </c>
    </row>
    <row r="20" spans="1:6">
      <c r="A20" t="s">
        <v>0</v>
      </c>
      <c r="B20" t="s">
        <v>5</v>
      </c>
      <c r="C20" t="s">
        <v>39</v>
      </c>
      <c r="D20" t="s">
        <v>234</v>
      </c>
    </row>
    <row r="21" spans="1:6">
      <c r="A21" t="s">
        <v>0</v>
      </c>
      <c r="B21" t="s">
        <v>5</v>
      </c>
      <c r="C21" t="s">
        <v>4</v>
      </c>
      <c r="D21" t="s">
        <v>235</v>
      </c>
    </row>
    <row r="22" spans="1:6">
      <c r="A22" t="s">
        <v>0</v>
      </c>
      <c r="B22" t="s">
        <v>5</v>
      </c>
      <c r="C22" t="s">
        <v>3</v>
      </c>
      <c r="D22" t="s">
        <v>236</v>
      </c>
    </row>
    <row r="23" spans="1:6">
      <c r="A23" t="s">
        <v>0</v>
      </c>
      <c r="B23" t="s">
        <v>6</v>
      </c>
      <c r="C23" t="s">
        <v>39</v>
      </c>
      <c r="D23" t="s">
        <v>147</v>
      </c>
    </row>
    <row r="24" spans="1:6">
      <c r="A24" t="s">
        <v>0</v>
      </c>
      <c r="B24" t="s">
        <v>6</v>
      </c>
      <c r="C24" t="s">
        <v>7</v>
      </c>
      <c r="D24" t="s">
        <v>237</v>
      </c>
    </row>
    <row r="25" spans="1:6">
      <c r="A25" t="s">
        <v>0</v>
      </c>
      <c r="B25" t="s">
        <v>321</v>
      </c>
      <c r="C25" t="s">
        <v>39</v>
      </c>
      <c r="D25" t="s">
        <v>238</v>
      </c>
    </row>
    <row r="26" spans="1:6">
      <c r="A26" t="s">
        <v>0</v>
      </c>
      <c r="B26" t="s">
        <v>321</v>
      </c>
      <c r="C26" t="s">
        <v>3</v>
      </c>
      <c r="D26" t="s">
        <v>239</v>
      </c>
    </row>
    <row r="27" spans="1:6">
      <c r="A27" t="s">
        <v>0</v>
      </c>
      <c r="B27" t="s">
        <v>119</v>
      </c>
      <c r="C27" t="s">
        <v>39</v>
      </c>
      <c r="D27" t="s">
        <v>240</v>
      </c>
    </row>
    <row r="28" spans="1:6">
      <c r="A28" t="s">
        <v>0</v>
      </c>
      <c r="B28" t="s">
        <v>119</v>
      </c>
      <c r="C28" t="s">
        <v>7</v>
      </c>
      <c r="D28" t="s">
        <v>241</v>
      </c>
    </row>
    <row r="29" spans="1:6">
      <c r="A29" t="s">
        <v>0</v>
      </c>
      <c r="B29" t="s">
        <v>119</v>
      </c>
      <c r="C29" t="s">
        <v>78</v>
      </c>
      <c r="D29" t="s">
        <v>242</v>
      </c>
    </row>
    <row r="30" spans="1:6">
      <c r="A30" t="s">
        <v>0</v>
      </c>
      <c r="B30" t="s">
        <v>148</v>
      </c>
      <c r="C30" t="s">
        <v>39</v>
      </c>
      <c r="D30" t="s">
        <v>315</v>
      </c>
    </row>
    <row r="31" spans="1:6">
      <c r="A31" t="s">
        <v>0</v>
      </c>
      <c r="B31" t="s">
        <v>148</v>
      </c>
      <c r="C31" t="s">
        <v>7</v>
      </c>
      <c r="D31" t="s">
        <v>243</v>
      </c>
    </row>
    <row r="32" spans="1:6">
      <c r="A32" t="s">
        <v>0</v>
      </c>
      <c r="B32" t="s">
        <v>322</v>
      </c>
      <c r="C32" t="s">
        <v>39</v>
      </c>
      <c r="D32" t="s">
        <v>244</v>
      </c>
    </row>
    <row r="33" spans="1:4">
      <c r="A33" t="s">
        <v>0</v>
      </c>
      <c r="B33" t="s">
        <v>322</v>
      </c>
      <c r="C33" t="s">
        <v>7</v>
      </c>
      <c r="D33" t="s">
        <v>245</v>
      </c>
    </row>
    <row r="34" spans="1:4">
      <c r="A34" t="s">
        <v>0</v>
      </c>
      <c r="B34" t="s">
        <v>322</v>
      </c>
      <c r="C34" t="s">
        <v>78</v>
      </c>
      <c r="D34" t="s">
        <v>319</v>
      </c>
    </row>
    <row r="35" spans="1:4">
      <c r="A35" t="s">
        <v>0</v>
      </c>
      <c r="B35" t="s">
        <v>150</v>
      </c>
      <c r="C35" t="s">
        <v>39</v>
      </c>
      <c r="D35" t="s">
        <v>246</v>
      </c>
    </row>
    <row r="36" spans="1:4">
      <c r="A36" t="s">
        <v>0</v>
      </c>
      <c r="B36" t="s">
        <v>150</v>
      </c>
      <c r="C36" t="s">
        <v>7</v>
      </c>
      <c r="D36" t="s">
        <v>247</v>
      </c>
    </row>
    <row r="37" spans="1:4">
      <c r="A37" t="s">
        <v>0</v>
      </c>
      <c r="B37" t="s">
        <v>150</v>
      </c>
      <c r="C37" t="s">
        <v>78</v>
      </c>
      <c r="D37" t="s">
        <v>248</v>
      </c>
    </row>
    <row r="38" spans="1:4">
      <c r="A38" t="s">
        <v>0</v>
      </c>
      <c r="B38" t="s">
        <v>151</v>
      </c>
      <c r="C38" t="s">
        <v>39</v>
      </c>
      <c r="D38" t="s">
        <v>249</v>
      </c>
    </row>
    <row r="39" spans="1:4">
      <c r="A39" t="s">
        <v>0</v>
      </c>
      <c r="B39" t="s">
        <v>151</v>
      </c>
      <c r="C39" t="s">
        <v>7</v>
      </c>
      <c r="D39" t="s">
        <v>250</v>
      </c>
    </row>
    <row r="40" spans="1:4">
      <c r="A40" t="s">
        <v>0</v>
      </c>
      <c r="B40" t="s">
        <v>151</v>
      </c>
      <c r="C40" t="s">
        <v>78</v>
      </c>
      <c r="D40" t="s">
        <v>251</v>
      </c>
    </row>
    <row r="41" spans="1:4">
      <c r="A41" t="s">
        <v>0</v>
      </c>
      <c r="B41" t="s">
        <v>152</v>
      </c>
      <c r="C41" t="s">
        <v>39</v>
      </c>
      <c r="D41" t="s">
        <v>252</v>
      </c>
    </row>
    <row r="42" spans="1:4">
      <c r="A42" t="s">
        <v>0</v>
      </c>
      <c r="B42" t="s">
        <v>152</v>
      </c>
      <c r="C42" t="s">
        <v>7</v>
      </c>
      <c r="D42" t="s">
        <v>253</v>
      </c>
    </row>
    <row r="43" spans="1:4">
      <c r="A43" t="s">
        <v>0</v>
      </c>
      <c r="B43" t="s">
        <v>152</v>
      </c>
      <c r="C43" t="s">
        <v>78</v>
      </c>
      <c r="D43" t="s">
        <v>254</v>
      </c>
    </row>
    <row r="44" spans="1:4">
      <c r="A44" t="s">
        <v>0</v>
      </c>
      <c r="B44" t="s">
        <v>124</v>
      </c>
      <c r="C44" t="s">
        <v>39</v>
      </c>
      <c r="D44" t="s">
        <v>255</v>
      </c>
    </row>
    <row r="45" spans="1:4">
      <c r="A45" t="s">
        <v>0</v>
      </c>
      <c r="B45" t="s">
        <v>124</v>
      </c>
      <c r="C45" t="s">
        <v>7</v>
      </c>
      <c r="D45" t="s">
        <v>256</v>
      </c>
    </row>
    <row r="46" spans="1:4">
      <c r="A46" t="s">
        <v>0</v>
      </c>
      <c r="B46" t="s">
        <v>153</v>
      </c>
      <c r="C46" t="s">
        <v>39</v>
      </c>
      <c r="D46" t="s">
        <v>257</v>
      </c>
    </row>
    <row r="47" spans="1:4">
      <c r="A47" t="s">
        <v>0</v>
      </c>
      <c r="B47" t="s">
        <v>153</v>
      </c>
      <c r="C47" t="s">
        <v>78</v>
      </c>
      <c r="D47" t="s">
        <v>258</v>
      </c>
    </row>
    <row r="48" spans="1:4">
      <c r="A48" t="s">
        <v>0</v>
      </c>
      <c r="B48" t="s">
        <v>154</v>
      </c>
      <c r="C48" t="s">
        <v>39</v>
      </c>
      <c r="D48" t="s">
        <v>259</v>
      </c>
    </row>
    <row r="49" spans="1:4">
      <c r="A49" t="s">
        <v>0</v>
      </c>
      <c r="B49" t="s">
        <v>154</v>
      </c>
      <c r="C49" t="s">
        <v>7</v>
      </c>
      <c r="D49" t="s">
        <v>260</v>
      </c>
    </row>
    <row r="50" spans="1:4">
      <c r="A50" t="s">
        <v>0</v>
      </c>
      <c r="B50" t="s">
        <v>154</v>
      </c>
      <c r="C50" t="s">
        <v>78</v>
      </c>
      <c r="D50" t="s">
        <v>261</v>
      </c>
    </row>
    <row r="51" spans="1:4">
      <c r="A51" t="s">
        <v>0</v>
      </c>
      <c r="B51" t="s">
        <v>155</v>
      </c>
      <c r="C51" t="s">
        <v>39</v>
      </c>
      <c r="D51" t="s">
        <v>262</v>
      </c>
    </row>
    <row r="52" spans="1:4">
      <c r="A52" t="s">
        <v>0</v>
      </c>
      <c r="B52" t="s">
        <v>155</v>
      </c>
      <c r="C52" t="s">
        <v>7</v>
      </c>
      <c r="D52" t="s">
        <v>263</v>
      </c>
    </row>
    <row r="53" spans="1:4">
      <c r="A53" t="s">
        <v>0</v>
      </c>
      <c r="B53" t="s">
        <v>155</v>
      </c>
      <c r="C53" t="s">
        <v>78</v>
      </c>
      <c r="D53" t="s">
        <v>264</v>
      </c>
    </row>
    <row r="54" spans="1:4">
      <c r="A54" t="s">
        <v>18</v>
      </c>
      <c r="B54" t="s">
        <v>91</v>
      </c>
      <c r="C54" t="s">
        <v>1</v>
      </c>
      <c r="D54" t="s">
        <v>265</v>
      </c>
    </row>
    <row r="55" spans="1:4">
      <c r="A55" t="s">
        <v>18</v>
      </c>
      <c r="B55" t="s">
        <v>91</v>
      </c>
      <c r="C55" t="s">
        <v>2</v>
      </c>
      <c r="D55" t="s">
        <v>156</v>
      </c>
    </row>
    <row r="56" spans="1:4">
      <c r="A56" t="s">
        <v>18</v>
      </c>
      <c r="B56" t="s">
        <v>91</v>
      </c>
      <c r="C56" t="s">
        <v>20</v>
      </c>
      <c r="D56" t="s">
        <v>266</v>
      </c>
    </row>
    <row r="57" spans="1:4">
      <c r="A57" t="s">
        <v>18</v>
      </c>
      <c r="B57" t="s">
        <v>91</v>
      </c>
      <c r="C57" t="s">
        <v>157</v>
      </c>
      <c r="D57" t="s">
        <v>267</v>
      </c>
    </row>
    <row r="58" spans="1:4">
      <c r="A58" t="s">
        <v>18</v>
      </c>
      <c r="B58" t="s">
        <v>91</v>
      </c>
      <c r="C58" t="s">
        <v>40</v>
      </c>
      <c r="D58" t="s">
        <v>268</v>
      </c>
    </row>
    <row r="59" spans="1:4">
      <c r="A59" t="s">
        <v>18</v>
      </c>
      <c r="B59" t="s">
        <v>91</v>
      </c>
      <c r="C59" t="s">
        <v>73</v>
      </c>
      <c r="D59" t="s">
        <v>158</v>
      </c>
    </row>
    <row r="60" spans="1:4">
      <c r="A60" t="s">
        <v>18</v>
      </c>
      <c r="B60" t="s">
        <v>91</v>
      </c>
      <c r="C60" t="s">
        <v>74</v>
      </c>
      <c r="D60" t="s">
        <v>159</v>
      </c>
    </row>
    <row r="61" spans="1:4">
      <c r="A61" t="s">
        <v>18</v>
      </c>
      <c r="B61" t="s">
        <v>91</v>
      </c>
      <c r="C61" t="s">
        <v>75</v>
      </c>
      <c r="D61" t="s">
        <v>269</v>
      </c>
    </row>
    <row r="62" spans="1:4">
      <c r="A62" t="s">
        <v>18</v>
      </c>
      <c r="B62" t="s">
        <v>91</v>
      </c>
      <c r="C62" t="s">
        <v>77</v>
      </c>
      <c r="D62" t="s">
        <v>270</v>
      </c>
    </row>
    <row r="63" spans="1:4">
      <c r="A63" t="s">
        <v>18</v>
      </c>
      <c r="B63" t="s">
        <v>19</v>
      </c>
      <c r="C63" t="s">
        <v>39</v>
      </c>
      <c r="D63" t="s">
        <v>271</v>
      </c>
    </row>
    <row r="64" spans="1:4">
      <c r="A64" t="s">
        <v>18</v>
      </c>
      <c r="B64" t="s">
        <v>19</v>
      </c>
      <c r="C64" t="s">
        <v>20</v>
      </c>
      <c r="D64" t="s">
        <v>272</v>
      </c>
    </row>
    <row r="65" spans="1:4">
      <c r="A65" t="s">
        <v>18</v>
      </c>
      <c r="B65" t="s">
        <v>21</v>
      </c>
      <c r="C65" t="s">
        <v>39</v>
      </c>
      <c r="D65" t="s">
        <v>271</v>
      </c>
    </row>
    <row r="66" spans="1:4">
      <c r="A66" t="s">
        <v>18</v>
      </c>
      <c r="B66" t="s">
        <v>21</v>
      </c>
      <c r="C66" t="s">
        <v>20</v>
      </c>
      <c r="D66" t="s">
        <v>272</v>
      </c>
    </row>
    <row r="67" spans="1:4">
      <c r="A67" t="s">
        <v>18</v>
      </c>
      <c r="B67" t="s">
        <v>129</v>
      </c>
      <c r="C67" t="s">
        <v>39</v>
      </c>
      <c r="D67" t="s">
        <v>271</v>
      </c>
    </row>
    <row r="68" spans="1:4">
      <c r="A68" t="s">
        <v>18</v>
      </c>
      <c r="B68" t="s">
        <v>129</v>
      </c>
      <c r="C68" t="s">
        <v>20</v>
      </c>
      <c r="D68" t="s">
        <v>272</v>
      </c>
    </row>
    <row r="69" spans="1:4">
      <c r="A69" t="s">
        <v>18</v>
      </c>
      <c r="B69" t="s">
        <v>160</v>
      </c>
      <c r="C69" t="s">
        <v>39</v>
      </c>
      <c r="D69" t="s">
        <v>271</v>
      </c>
    </row>
    <row r="70" spans="1:4">
      <c r="A70" t="s">
        <v>18</v>
      </c>
      <c r="B70" t="s">
        <v>160</v>
      </c>
      <c r="C70" t="s">
        <v>20</v>
      </c>
      <c r="D70" t="s">
        <v>272</v>
      </c>
    </row>
    <row r="71" spans="1:4">
      <c r="A71" t="s">
        <v>18</v>
      </c>
      <c r="B71" t="s">
        <v>161</v>
      </c>
      <c r="C71" t="s">
        <v>39</v>
      </c>
      <c r="D71" t="s">
        <v>271</v>
      </c>
    </row>
    <row r="72" spans="1:4">
      <c r="A72" t="s">
        <v>18</v>
      </c>
      <c r="B72" t="s">
        <v>161</v>
      </c>
      <c r="C72" t="s">
        <v>20</v>
      </c>
      <c r="D72" t="s">
        <v>272</v>
      </c>
    </row>
    <row r="73" spans="1:4">
      <c r="A73" t="s">
        <v>18</v>
      </c>
      <c r="B73" t="s">
        <v>162</v>
      </c>
      <c r="C73" t="s">
        <v>39</v>
      </c>
      <c r="D73" t="s">
        <v>271</v>
      </c>
    </row>
    <row r="74" spans="1:4">
      <c r="A74" t="s">
        <v>18</v>
      </c>
      <c r="B74" t="s">
        <v>162</v>
      </c>
      <c r="C74" t="s">
        <v>20</v>
      </c>
      <c r="D74" t="s">
        <v>272</v>
      </c>
    </row>
    <row r="75" spans="1:4">
      <c r="A75" t="s">
        <v>18</v>
      </c>
      <c r="B75" t="s">
        <v>163</v>
      </c>
      <c r="C75" t="s">
        <v>39</v>
      </c>
      <c r="D75" t="s">
        <v>271</v>
      </c>
    </row>
    <row r="76" spans="1:4">
      <c r="A76" t="s">
        <v>18</v>
      </c>
      <c r="B76" t="s">
        <v>163</v>
      </c>
      <c r="C76" t="s">
        <v>20</v>
      </c>
      <c r="D76" t="s">
        <v>272</v>
      </c>
    </row>
    <row r="77" spans="1:4">
      <c r="A77" t="s">
        <v>18</v>
      </c>
      <c r="B77" t="s">
        <v>164</v>
      </c>
      <c r="C77" t="s">
        <v>39</v>
      </c>
      <c r="D77" t="s">
        <v>271</v>
      </c>
    </row>
    <row r="78" spans="1:4">
      <c r="A78" t="s">
        <v>18</v>
      </c>
      <c r="B78" t="s">
        <v>164</v>
      </c>
      <c r="C78" t="s">
        <v>20</v>
      </c>
      <c r="D78" t="s">
        <v>272</v>
      </c>
    </row>
    <row r="79" spans="1:4">
      <c r="A79" t="s">
        <v>0</v>
      </c>
      <c r="B79" t="s">
        <v>150</v>
      </c>
      <c r="C79" t="s">
        <v>313</v>
      </c>
      <c r="D79" t="s">
        <v>314</v>
      </c>
    </row>
    <row r="80" spans="1:4">
      <c r="A80" t="s">
        <v>24</v>
      </c>
      <c r="B80" t="s">
        <v>91</v>
      </c>
      <c r="C80" t="s">
        <v>165</v>
      </c>
      <c r="D80" t="s">
        <v>273</v>
      </c>
    </row>
    <row r="81" spans="1:4">
      <c r="A81" t="s">
        <v>24</v>
      </c>
      <c r="B81" t="s">
        <v>91</v>
      </c>
      <c r="C81" t="s">
        <v>39</v>
      </c>
      <c r="D81" t="s">
        <v>274</v>
      </c>
    </row>
    <row r="82" spans="1:4">
      <c r="A82" t="s">
        <v>24</v>
      </c>
      <c r="B82" t="s">
        <v>91</v>
      </c>
      <c r="C82" t="s">
        <v>166</v>
      </c>
      <c r="D82" t="s">
        <v>275</v>
      </c>
    </row>
    <row r="83" spans="1:4">
      <c r="A83" t="s">
        <v>24</v>
      </c>
      <c r="B83" t="s">
        <v>91</v>
      </c>
      <c r="C83" t="s">
        <v>167</v>
      </c>
      <c r="D83" t="s">
        <v>276</v>
      </c>
    </row>
    <row r="84" spans="1:4">
      <c r="A84" t="s">
        <v>24</v>
      </c>
      <c r="B84" t="s">
        <v>91</v>
      </c>
      <c r="C84" t="s">
        <v>49</v>
      </c>
      <c r="D84" t="s">
        <v>277</v>
      </c>
    </row>
    <row r="85" spans="1:4">
      <c r="A85" t="s">
        <v>24</v>
      </c>
      <c r="B85" t="s">
        <v>91</v>
      </c>
      <c r="C85" t="s">
        <v>168</v>
      </c>
      <c r="D85" t="s">
        <v>278</v>
      </c>
    </row>
    <row r="86" spans="1:4">
      <c r="A86" t="s">
        <v>24</v>
      </c>
      <c r="B86" t="s">
        <v>91</v>
      </c>
      <c r="C86" t="s">
        <v>169</v>
      </c>
      <c r="D86" t="s">
        <v>279</v>
      </c>
    </row>
    <row r="87" spans="1:4">
      <c r="A87" t="s">
        <v>24</v>
      </c>
      <c r="B87" t="s">
        <v>91</v>
      </c>
      <c r="C87" t="s">
        <v>170</v>
      </c>
      <c r="D87" t="s">
        <v>280</v>
      </c>
    </row>
    <row r="88" spans="1:4">
      <c r="A88" t="s">
        <v>24</v>
      </c>
      <c r="B88" t="s">
        <v>91</v>
      </c>
      <c r="C88" t="s">
        <v>73</v>
      </c>
      <c r="D88" t="s">
        <v>281</v>
      </c>
    </row>
    <row r="89" spans="1:4">
      <c r="A89" t="s">
        <v>24</v>
      </c>
      <c r="B89" t="s">
        <v>91</v>
      </c>
      <c r="C89" t="s">
        <v>74</v>
      </c>
      <c r="D89" t="s">
        <v>282</v>
      </c>
    </row>
    <row r="90" spans="1:4">
      <c r="A90" t="s">
        <v>24</v>
      </c>
      <c r="B90" t="s">
        <v>91</v>
      </c>
      <c r="C90" t="s">
        <v>75</v>
      </c>
      <c r="D90" t="s">
        <v>171</v>
      </c>
    </row>
    <row r="91" spans="1:4">
      <c r="A91" t="s">
        <v>24</v>
      </c>
      <c r="B91" t="s">
        <v>91</v>
      </c>
      <c r="C91" t="s">
        <v>78</v>
      </c>
      <c r="D91" t="s">
        <v>283</v>
      </c>
    </row>
    <row r="92" spans="1:4">
      <c r="A92" t="s">
        <v>24</v>
      </c>
      <c r="B92" t="s">
        <v>25</v>
      </c>
      <c r="C92" t="s">
        <v>78</v>
      </c>
      <c r="D92" t="s">
        <v>284</v>
      </c>
    </row>
    <row r="93" spans="1:4">
      <c r="A93" t="s">
        <v>24</v>
      </c>
      <c r="B93" t="s">
        <v>26</v>
      </c>
      <c r="C93" t="s">
        <v>78</v>
      </c>
      <c r="D93" t="s">
        <v>285</v>
      </c>
    </row>
    <row r="94" spans="1:4">
      <c r="A94" t="s">
        <v>24</v>
      </c>
      <c r="B94" t="s">
        <v>172</v>
      </c>
      <c r="C94" t="s">
        <v>78</v>
      </c>
      <c r="D94" t="s">
        <v>286</v>
      </c>
    </row>
    <row r="95" spans="1:4">
      <c r="A95" t="s">
        <v>24</v>
      </c>
      <c r="B95" t="s">
        <v>173</v>
      </c>
      <c r="C95" t="s">
        <v>78</v>
      </c>
      <c r="D95" t="s">
        <v>287</v>
      </c>
    </row>
    <row r="96" spans="1:4">
      <c r="A96" t="s">
        <v>30</v>
      </c>
      <c r="B96" t="s">
        <v>91</v>
      </c>
      <c r="C96" t="s">
        <v>39</v>
      </c>
      <c r="D96" t="s">
        <v>288</v>
      </c>
    </row>
    <row r="97" spans="1:4">
      <c r="A97" t="s">
        <v>30</v>
      </c>
      <c r="B97" t="s">
        <v>91</v>
      </c>
      <c r="C97" t="s">
        <v>47</v>
      </c>
      <c r="D97" t="s">
        <v>176</v>
      </c>
    </row>
    <row r="98" spans="1:4">
      <c r="A98" t="s">
        <v>30</v>
      </c>
      <c r="B98" t="s">
        <v>91</v>
      </c>
      <c r="C98" t="s">
        <v>2</v>
      </c>
      <c r="D98" t="s">
        <v>289</v>
      </c>
    </row>
    <row r="99" spans="1:4">
      <c r="A99" t="s">
        <v>30</v>
      </c>
      <c r="B99" t="s">
        <v>91</v>
      </c>
      <c r="C99" t="s">
        <v>85</v>
      </c>
      <c r="D99" t="s">
        <v>290</v>
      </c>
    </row>
    <row r="100" spans="1:4">
      <c r="A100" t="s">
        <v>30</v>
      </c>
      <c r="B100" t="s">
        <v>91</v>
      </c>
      <c r="C100" t="s">
        <v>81</v>
      </c>
      <c r="D100" t="s">
        <v>291</v>
      </c>
    </row>
    <row r="101" spans="1:4">
      <c r="A101" t="s">
        <v>30</v>
      </c>
      <c r="B101" t="s">
        <v>91</v>
      </c>
      <c r="C101" t="s">
        <v>82</v>
      </c>
      <c r="D101" t="s">
        <v>292</v>
      </c>
    </row>
    <row r="102" spans="1:4">
      <c r="A102" t="s">
        <v>30</v>
      </c>
      <c r="B102" t="s">
        <v>91</v>
      </c>
      <c r="C102" t="s">
        <v>84</v>
      </c>
      <c r="D102" t="s">
        <v>293</v>
      </c>
    </row>
    <row r="103" spans="1:4">
      <c r="A103" t="s">
        <v>30</v>
      </c>
      <c r="B103" t="s">
        <v>91</v>
      </c>
      <c r="C103" t="s">
        <v>73</v>
      </c>
      <c r="D103" t="s">
        <v>294</v>
      </c>
    </row>
    <row r="104" spans="1:4">
      <c r="A104" t="s">
        <v>30</v>
      </c>
      <c r="B104" t="s">
        <v>91</v>
      </c>
      <c r="C104" t="s">
        <v>74</v>
      </c>
      <c r="D104" t="s">
        <v>295</v>
      </c>
    </row>
    <row r="105" spans="1:4">
      <c r="A105" t="s">
        <v>30</v>
      </c>
      <c r="B105" t="s">
        <v>91</v>
      </c>
      <c r="C105" t="s">
        <v>75</v>
      </c>
      <c r="D105" t="s">
        <v>296</v>
      </c>
    </row>
    <row r="106" spans="1:4">
      <c r="A106" t="s">
        <v>30</v>
      </c>
      <c r="B106" t="s">
        <v>91</v>
      </c>
      <c r="C106" t="s">
        <v>77</v>
      </c>
      <c r="D106" t="s">
        <v>297</v>
      </c>
    </row>
    <row r="107" spans="1:4">
      <c r="A107" t="s">
        <v>30</v>
      </c>
      <c r="B107" t="s">
        <v>31</v>
      </c>
      <c r="C107" t="s">
        <v>39</v>
      </c>
      <c r="D107" t="s">
        <v>298</v>
      </c>
    </row>
    <row r="108" spans="1:4">
      <c r="A108" t="s">
        <v>30</v>
      </c>
      <c r="B108" t="s">
        <v>186</v>
      </c>
      <c r="C108" t="s">
        <v>39</v>
      </c>
      <c r="D108" t="s">
        <v>299</v>
      </c>
    </row>
    <row r="109" spans="1:4">
      <c r="A109" t="s">
        <v>30</v>
      </c>
      <c r="B109" t="s">
        <v>188</v>
      </c>
      <c r="C109" t="s">
        <v>39</v>
      </c>
      <c r="D109" t="s">
        <v>300</v>
      </c>
    </row>
    <row r="110" spans="1:4">
      <c r="A110" t="s">
        <v>30</v>
      </c>
      <c r="B110" t="s">
        <v>53</v>
      </c>
      <c r="C110" t="s">
        <v>39</v>
      </c>
      <c r="D110" t="s">
        <v>301</v>
      </c>
    </row>
    <row r="111" spans="1:4">
      <c r="A111" t="s">
        <v>30</v>
      </c>
      <c r="B111" t="s">
        <v>191</v>
      </c>
      <c r="C111" t="s">
        <v>39</v>
      </c>
      <c r="D111" t="s">
        <v>302</v>
      </c>
    </row>
    <row r="112" spans="1:4">
      <c r="A112" t="s">
        <v>30</v>
      </c>
      <c r="B112" t="s">
        <v>193</v>
      </c>
      <c r="C112" t="s">
        <v>39</v>
      </c>
      <c r="D112" t="s">
        <v>303</v>
      </c>
    </row>
    <row r="113" spans="1:4">
      <c r="A113" t="s">
        <v>30</v>
      </c>
      <c r="B113" t="s">
        <v>195</v>
      </c>
      <c r="C113" t="s">
        <v>39</v>
      </c>
      <c r="D113" t="s">
        <v>304</v>
      </c>
    </row>
    <row r="114" spans="1:4">
      <c r="A114" t="s">
        <v>30</v>
      </c>
      <c r="B114" t="s">
        <v>197</v>
      </c>
      <c r="C114" t="s">
        <v>39</v>
      </c>
      <c r="D114" t="s">
        <v>305</v>
      </c>
    </row>
    <row r="115" spans="1:4">
      <c r="A115" t="s">
        <v>30</v>
      </c>
      <c r="B115" t="s">
        <v>199</v>
      </c>
      <c r="C115" t="s">
        <v>39</v>
      </c>
      <c r="D115" t="s">
        <v>306</v>
      </c>
    </row>
    <row r="116" spans="1:4">
      <c r="A116" t="s">
        <v>30</v>
      </c>
      <c r="B116" t="s">
        <v>201</v>
      </c>
      <c r="C116" t="s">
        <v>39</v>
      </c>
      <c r="D116" t="s">
        <v>307</v>
      </c>
    </row>
    <row r="117" spans="1:4">
      <c r="A117" t="s">
        <v>30</v>
      </c>
      <c r="B117" t="s">
        <v>203</v>
      </c>
      <c r="C117" t="s">
        <v>39</v>
      </c>
      <c r="D117" t="s">
        <v>308</v>
      </c>
    </row>
    <row r="118" spans="1:4">
      <c r="A118" t="s">
        <v>30</v>
      </c>
      <c r="B118" t="s">
        <v>205</v>
      </c>
      <c r="C118" t="s">
        <v>39</v>
      </c>
      <c r="D118" t="s">
        <v>309</v>
      </c>
    </row>
    <row r="119" spans="1:4">
      <c r="A119" t="s">
        <v>30</v>
      </c>
      <c r="B119" t="s">
        <v>207</v>
      </c>
      <c r="C119" t="s">
        <v>39</v>
      </c>
      <c r="D119" t="s">
        <v>310</v>
      </c>
    </row>
    <row r="120" spans="1:4">
      <c r="A120" t="s">
        <v>30</v>
      </c>
      <c r="B120" t="s">
        <v>209</v>
      </c>
      <c r="C120" t="s">
        <v>39</v>
      </c>
      <c r="D120" t="s">
        <v>311</v>
      </c>
    </row>
    <row r="121" spans="1:4">
      <c r="A121" t="s">
        <v>30</v>
      </c>
      <c r="B121" t="s">
        <v>211</v>
      </c>
      <c r="C121" t="s">
        <v>39</v>
      </c>
      <c r="D121" t="s">
        <v>312</v>
      </c>
    </row>
    <row r="122" spans="1:4">
      <c r="A122" t="s">
        <v>24</v>
      </c>
      <c r="B122" t="s">
        <v>174</v>
      </c>
      <c r="C122" t="s">
        <v>39</v>
      </c>
      <c r="D122" t="s">
        <v>174</v>
      </c>
    </row>
    <row r="123" spans="1:4">
      <c r="A123" t="s">
        <v>30</v>
      </c>
      <c r="B123" t="s">
        <v>91</v>
      </c>
      <c r="C123" t="s">
        <v>39</v>
      </c>
      <c r="D123" t="s">
        <v>175</v>
      </c>
    </row>
    <row r="124" spans="1:4">
      <c r="A124" t="s">
        <v>30</v>
      </c>
      <c r="B124" t="s">
        <v>91</v>
      </c>
      <c r="C124" t="s">
        <v>47</v>
      </c>
      <c r="D124" t="s">
        <v>176</v>
      </c>
    </row>
    <row r="125" spans="1:4">
      <c r="A125" t="s">
        <v>30</v>
      </c>
      <c r="B125" t="s">
        <v>91</v>
      </c>
      <c r="C125" t="s">
        <v>2</v>
      </c>
      <c r="D125" t="s">
        <v>177</v>
      </c>
    </row>
    <row r="126" spans="1:4">
      <c r="A126" t="s">
        <v>30</v>
      </c>
      <c r="B126" t="s">
        <v>91</v>
      </c>
      <c r="C126" t="s">
        <v>85</v>
      </c>
      <c r="D126" t="s">
        <v>178</v>
      </c>
    </row>
    <row r="127" spans="1:4">
      <c r="A127" t="s">
        <v>30</v>
      </c>
      <c r="B127" t="s">
        <v>91</v>
      </c>
      <c r="C127" t="s">
        <v>81</v>
      </c>
      <c r="D127" t="s">
        <v>179</v>
      </c>
    </row>
    <row r="128" spans="1:4">
      <c r="A128" t="s">
        <v>30</v>
      </c>
      <c r="B128" t="s">
        <v>91</v>
      </c>
      <c r="C128" t="s">
        <v>82</v>
      </c>
      <c r="D128" t="s">
        <v>180</v>
      </c>
    </row>
    <row r="129" spans="1:4">
      <c r="A129" t="s">
        <v>30</v>
      </c>
      <c r="B129" t="s">
        <v>91</v>
      </c>
      <c r="C129" t="s">
        <v>84</v>
      </c>
      <c r="D129" t="s">
        <v>181</v>
      </c>
    </row>
    <row r="130" spans="1:4">
      <c r="A130" t="s">
        <v>30</v>
      </c>
      <c r="B130" t="s">
        <v>91</v>
      </c>
      <c r="C130" t="s">
        <v>73</v>
      </c>
      <c r="D130" t="s">
        <v>182</v>
      </c>
    </row>
    <row r="131" spans="1:4">
      <c r="A131" t="s">
        <v>30</v>
      </c>
      <c r="B131" t="s">
        <v>91</v>
      </c>
      <c r="C131" t="s">
        <v>74</v>
      </c>
      <c r="D131" t="s">
        <v>159</v>
      </c>
    </row>
    <row r="132" spans="1:4">
      <c r="A132" t="s">
        <v>30</v>
      </c>
      <c r="B132" t="s">
        <v>91</v>
      </c>
      <c r="C132" t="s">
        <v>75</v>
      </c>
      <c r="D132" t="s">
        <v>183</v>
      </c>
    </row>
    <row r="133" spans="1:4">
      <c r="A133" t="s">
        <v>30</v>
      </c>
      <c r="B133" t="s">
        <v>91</v>
      </c>
      <c r="C133" t="s">
        <v>77</v>
      </c>
      <c r="D133" t="s">
        <v>184</v>
      </c>
    </row>
    <row r="134" spans="1:4">
      <c r="A134" t="s">
        <v>30</v>
      </c>
      <c r="B134" t="s">
        <v>31</v>
      </c>
      <c r="C134" t="s">
        <v>39</v>
      </c>
      <c r="D134" t="s">
        <v>185</v>
      </c>
    </row>
    <row r="135" spans="1:4">
      <c r="A135" t="s">
        <v>30</v>
      </c>
      <c r="B135" t="s">
        <v>186</v>
      </c>
      <c r="C135" t="s">
        <v>39</v>
      </c>
      <c r="D135" t="s">
        <v>187</v>
      </c>
    </row>
    <row r="136" spans="1:4">
      <c r="A136" t="s">
        <v>30</v>
      </c>
      <c r="B136" t="s">
        <v>188</v>
      </c>
      <c r="C136" t="s">
        <v>39</v>
      </c>
      <c r="D136" t="s">
        <v>189</v>
      </c>
    </row>
    <row r="137" spans="1:4">
      <c r="A137" t="s">
        <v>30</v>
      </c>
      <c r="B137" t="s">
        <v>53</v>
      </c>
      <c r="C137" t="s">
        <v>39</v>
      </c>
      <c r="D137" t="s">
        <v>190</v>
      </c>
    </row>
    <row r="138" spans="1:4">
      <c r="A138" t="s">
        <v>30</v>
      </c>
      <c r="B138" t="s">
        <v>191</v>
      </c>
      <c r="C138" t="s">
        <v>39</v>
      </c>
      <c r="D138" t="s">
        <v>192</v>
      </c>
    </row>
    <row r="139" spans="1:4">
      <c r="A139" t="s">
        <v>30</v>
      </c>
      <c r="B139" t="s">
        <v>193</v>
      </c>
      <c r="C139" t="s">
        <v>39</v>
      </c>
      <c r="D139" t="s">
        <v>194</v>
      </c>
    </row>
    <row r="140" spans="1:4">
      <c r="A140" t="s">
        <v>30</v>
      </c>
      <c r="B140" t="s">
        <v>195</v>
      </c>
      <c r="C140" t="s">
        <v>39</v>
      </c>
      <c r="D140" t="s">
        <v>196</v>
      </c>
    </row>
    <row r="141" spans="1:4">
      <c r="A141" t="s">
        <v>30</v>
      </c>
      <c r="B141" t="s">
        <v>197</v>
      </c>
      <c r="C141" t="s">
        <v>39</v>
      </c>
      <c r="D141" t="s">
        <v>198</v>
      </c>
    </row>
    <row r="142" spans="1:4">
      <c r="A142" t="s">
        <v>30</v>
      </c>
      <c r="B142" t="s">
        <v>199</v>
      </c>
      <c r="C142" t="s">
        <v>39</v>
      </c>
      <c r="D142" t="s">
        <v>200</v>
      </c>
    </row>
    <row r="143" spans="1:4">
      <c r="A143" t="s">
        <v>30</v>
      </c>
      <c r="B143" t="s">
        <v>201</v>
      </c>
      <c r="C143" t="s">
        <v>39</v>
      </c>
      <c r="D143" t="s">
        <v>202</v>
      </c>
    </row>
    <row r="144" spans="1:4">
      <c r="A144" t="s">
        <v>30</v>
      </c>
      <c r="B144" t="s">
        <v>203</v>
      </c>
      <c r="C144" t="s">
        <v>39</v>
      </c>
      <c r="D144" t="s">
        <v>204</v>
      </c>
    </row>
    <row r="145" spans="1:4">
      <c r="A145" t="s">
        <v>30</v>
      </c>
      <c r="B145" t="s">
        <v>205</v>
      </c>
      <c r="C145" t="s">
        <v>39</v>
      </c>
      <c r="D145" t="s">
        <v>206</v>
      </c>
    </row>
    <row r="146" spans="1:4">
      <c r="A146" t="s">
        <v>30</v>
      </c>
      <c r="B146" t="s">
        <v>207</v>
      </c>
      <c r="C146" t="s">
        <v>39</v>
      </c>
      <c r="D146" t="s">
        <v>208</v>
      </c>
    </row>
    <row r="147" spans="1:4">
      <c r="A147" t="s">
        <v>30</v>
      </c>
      <c r="B147" t="s">
        <v>209</v>
      </c>
      <c r="C147" t="s">
        <v>39</v>
      </c>
      <c r="D147" t="s">
        <v>210</v>
      </c>
    </row>
    <row r="148" spans="1:4">
      <c r="A148" t="s">
        <v>30</v>
      </c>
      <c r="B148" t="s">
        <v>211</v>
      </c>
      <c r="C148" t="s">
        <v>39</v>
      </c>
      <c r="D148" t="s">
        <v>212</v>
      </c>
    </row>
    <row r="149" spans="1:4">
      <c r="A149" t="s">
        <v>0</v>
      </c>
      <c r="B149" t="s">
        <v>148</v>
      </c>
      <c r="C149" t="s">
        <v>105</v>
      </c>
      <c r="D149" t="s">
        <v>316</v>
      </c>
    </row>
    <row r="150" spans="1:4">
      <c r="A150" t="s">
        <v>0</v>
      </c>
      <c r="B150" t="s">
        <v>322</v>
      </c>
      <c r="C150" t="s">
        <v>73</v>
      </c>
      <c r="D150" t="s">
        <v>317</v>
      </c>
    </row>
    <row r="151" spans="1:4">
      <c r="A151" t="s">
        <v>0</v>
      </c>
      <c r="B151" t="s">
        <v>322</v>
      </c>
      <c r="C151" t="s">
        <v>106</v>
      </c>
      <c r="D151" t="s">
        <v>318</v>
      </c>
    </row>
    <row r="152" spans="1:4">
      <c r="A152" t="s">
        <v>0</v>
      </c>
      <c r="B152" t="s">
        <v>150</v>
      </c>
      <c r="C152" t="s">
        <v>123</v>
      </c>
      <c r="D152" t="s">
        <v>323</v>
      </c>
    </row>
    <row r="153" spans="1:4">
      <c r="A153" t="s">
        <v>0</v>
      </c>
      <c r="B153" t="s">
        <v>150</v>
      </c>
      <c r="C153" t="s">
        <v>105</v>
      </c>
      <c r="D153" t="s">
        <v>326</v>
      </c>
    </row>
    <row r="154" spans="1:4">
      <c r="A154" t="s">
        <v>0</v>
      </c>
      <c r="B154" t="s">
        <v>322</v>
      </c>
      <c r="C154" t="s">
        <v>128</v>
      </c>
      <c r="D154" t="s">
        <v>327</v>
      </c>
    </row>
  </sheetData>
  <mergeCells count="1">
    <mergeCell ref="A2:D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E2950-D900-634C-961C-925A541B4A14}">
  <sheetPr codeName="Sheet10"/>
  <dimension ref="A1:C1"/>
  <sheetViews>
    <sheetView showGridLines="0" workbookViewId="0"/>
  </sheetViews>
  <sheetFormatPr baseColWidth="10" defaultRowHeight="18" customHeight="1"/>
  <cols>
    <col min="1" max="1" width="26.83203125" style="74" customWidth="1"/>
    <col min="2" max="2" width="28.83203125" style="74" customWidth="1"/>
    <col min="3" max="3" width="60.83203125" style="75" customWidth="1"/>
    <col min="4" max="4" width="57.6640625" style="73" customWidth="1"/>
    <col min="5" max="16384" width="10.83203125" style="73"/>
  </cols>
  <sheetData/>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tnSaveAndClose">
              <controlPr defaultSize="0" print="0" autoFill="0" autoPict="0" macro="[0]!SaveAndClose">
                <anchor moveWithCells="1">
                  <from>
                    <xdr:col>2</xdr:col>
                    <xdr:colOff>279400</xdr:colOff>
                    <xdr:row>1</xdr:row>
                    <xdr:rowOff>76200</xdr:rowOff>
                  </from>
                  <to>
                    <xdr:col>2</xdr:col>
                    <xdr:colOff>1676400</xdr:colOff>
                    <xdr:row>3</xdr:row>
                    <xdr:rowOff>0</xdr:rowOff>
                  </to>
                </anchor>
              </controlPr>
            </control>
          </mc:Choice>
        </mc:AlternateContent>
        <mc:AlternateContent xmlns:mc="http://schemas.openxmlformats.org/markup-compatibility/2006">
          <mc:Choice Requires="x14">
            <control shapeId="10248" r:id="rId4" name="btnConfirmSelection">
              <controlPr defaultSize="0" print="0" autoFill="0" autoPict="0" macro="[0]!ConfirmCategory">
                <anchor moveWithCells="1" sizeWithCells="1">
                  <from>
                    <xdr:col>2</xdr:col>
                    <xdr:colOff>279400</xdr:colOff>
                    <xdr:row>1</xdr:row>
                    <xdr:rowOff>76200</xdr:rowOff>
                  </from>
                  <to>
                    <xdr:col>2</xdr:col>
                    <xdr:colOff>1676400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B5636-FDC9-E14F-914D-3ABF68CCE05E}">
  <sheetPr codeName="Sheet5"/>
  <dimension ref="A1:A13"/>
  <sheetViews>
    <sheetView workbookViewId="0"/>
  </sheetViews>
  <sheetFormatPr baseColWidth="10" defaultRowHeight="16"/>
  <sheetData>
    <row r="1" spans="1:1">
      <c r="A1" t="s">
        <v>5</v>
      </c>
    </row>
    <row r="2" spans="1:1">
      <c r="A2" t="s">
        <v>6</v>
      </c>
    </row>
    <row r="3" spans="1:1">
      <c r="A3" t="s">
        <v>143</v>
      </c>
    </row>
    <row r="4" spans="1:1">
      <c r="A4" t="s">
        <v>148</v>
      </c>
    </row>
    <row r="5" spans="1:1">
      <c r="A5" t="s">
        <v>119</v>
      </c>
    </row>
    <row r="6" spans="1:1">
      <c r="A6" t="s">
        <v>121</v>
      </c>
    </row>
    <row r="7" spans="1:1">
      <c r="A7" t="s">
        <v>149</v>
      </c>
    </row>
    <row r="8" spans="1:1">
      <c r="A8" t="s">
        <v>151</v>
      </c>
    </row>
    <row r="9" spans="1:1">
      <c r="A9" t="s">
        <v>150</v>
      </c>
    </row>
    <row r="10" spans="1:1">
      <c r="A10" t="s">
        <v>152</v>
      </c>
    </row>
    <row r="11" spans="1:1">
      <c r="A11" t="s">
        <v>320</v>
      </c>
    </row>
    <row r="12" spans="1:1">
      <c r="A12" t="s">
        <v>124</v>
      </c>
    </row>
    <row r="13" spans="1:1">
      <c r="A13" t="s">
        <v>215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Overview</vt:lpstr>
      <vt:lpstr>Assets</vt:lpstr>
      <vt:lpstr>Liabilities</vt:lpstr>
      <vt:lpstr>Income</vt:lpstr>
      <vt:lpstr>Expenses</vt:lpstr>
      <vt:lpstr>HelperText</vt:lpstr>
      <vt:lpstr>InputHelper</vt:lpstr>
      <vt:lpstr>~CatList_tmp</vt:lpstr>
      <vt:lpstr>Expense_Amount</vt:lpstr>
      <vt:lpstr>Expense_Frequency</vt:lpstr>
      <vt:lpstr>frequency</vt:lpstr>
      <vt:lpstr>payment_types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Canterbury</dc:creator>
  <cp:lastModifiedBy>James Canterbury</cp:lastModifiedBy>
  <dcterms:created xsi:type="dcterms:W3CDTF">2025-09-02T12:33:06Z</dcterms:created>
  <dcterms:modified xsi:type="dcterms:W3CDTF">2025-11-03T13:56:25Z</dcterms:modified>
</cp:coreProperties>
</file>